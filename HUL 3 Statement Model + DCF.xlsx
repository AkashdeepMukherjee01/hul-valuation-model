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ukhe\Documents\Projects\HUL Model\"/>
    </mc:Choice>
  </mc:AlternateContent>
  <xr:revisionPtr revIDLastSave="0" documentId="13_ncr:1_{78D7F9C7-3B1E-466D-9AC2-1FF8491C3B2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ver" sheetId="8" r:id="rId1"/>
    <sheet name="3 Statement Model" sheetId="5" r:id="rId2"/>
    <sheet name="DCF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8" l="1"/>
  <c r="E150" i="5" l="1"/>
  <c r="F150" i="5"/>
  <c r="G150" i="5"/>
  <c r="H150" i="5"/>
  <c r="I150" i="5"/>
  <c r="J150" i="5"/>
  <c r="K150" i="5"/>
  <c r="L150" i="5"/>
  <c r="D150" i="5"/>
  <c r="E154" i="5"/>
  <c r="F154" i="5"/>
  <c r="G154" i="5"/>
  <c r="E37" i="5" l="1"/>
  <c r="F37" i="5"/>
  <c r="G37" i="5"/>
  <c r="D37" i="5"/>
  <c r="E142" i="5"/>
  <c r="F142" i="5"/>
  <c r="G142" i="5"/>
  <c r="H142" i="5"/>
  <c r="I142" i="5"/>
  <c r="J142" i="5"/>
  <c r="K142" i="5"/>
  <c r="L142" i="5"/>
  <c r="D142" i="5"/>
  <c r="E141" i="5"/>
  <c r="F141" i="5"/>
  <c r="G141" i="5"/>
  <c r="H141" i="5"/>
  <c r="I141" i="5"/>
  <c r="J141" i="5"/>
  <c r="K141" i="5"/>
  <c r="L141" i="5"/>
  <c r="D141" i="5"/>
  <c r="E144" i="5"/>
  <c r="F144" i="5"/>
  <c r="G144" i="5"/>
  <c r="D144" i="5"/>
  <c r="E143" i="5"/>
  <c r="F143" i="5"/>
  <c r="G143" i="5"/>
  <c r="D143" i="5"/>
  <c r="D154" i="5"/>
  <c r="C151" i="5"/>
  <c r="E149" i="5"/>
  <c r="E151" i="5" s="1"/>
  <c r="F149" i="5"/>
  <c r="F151" i="5" s="1"/>
  <c r="G149" i="5"/>
  <c r="G151" i="5" s="1"/>
  <c r="H149" i="5"/>
  <c r="I149" i="5"/>
  <c r="J149" i="5"/>
  <c r="K149" i="5"/>
  <c r="L149" i="5"/>
  <c r="D149" i="5"/>
  <c r="D151" i="5" s="1"/>
  <c r="C32" i="6"/>
  <c r="C33" i="6"/>
  <c r="H118" i="5"/>
  <c r="H87" i="5"/>
  <c r="I87" i="5" s="1"/>
  <c r="J87" i="5" s="1"/>
  <c r="K87" i="5" s="1"/>
  <c r="L87" i="5" s="1"/>
  <c r="I118" i="5" l="1"/>
  <c r="H154" i="5"/>
  <c r="C21" i="6"/>
  <c r="C18" i="6"/>
  <c r="J118" i="5" l="1"/>
  <c r="I154" i="5"/>
  <c r="C24" i="6"/>
  <c r="L11" i="6" l="1"/>
  <c r="I11" i="6"/>
  <c r="J11" i="6"/>
  <c r="K11" i="6"/>
  <c r="H11" i="6"/>
  <c r="K118" i="5"/>
  <c r="J154" i="5"/>
  <c r="E145" i="5"/>
  <c r="F145" i="5"/>
  <c r="G145" i="5"/>
  <c r="D145" i="5"/>
  <c r="H86" i="5"/>
  <c r="I86" i="5" s="1"/>
  <c r="J86" i="5" s="1"/>
  <c r="K86" i="5" s="1"/>
  <c r="L86" i="5" s="1"/>
  <c r="L118" i="5" l="1"/>
  <c r="L154" i="5" s="1"/>
  <c r="K154" i="5"/>
  <c r="E23" i="5"/>
  <c r="F23" i="5"/>
  <c r="G23" i="5"/>
  <c r="D23" i="5"/>
  <c r="H60" i="5"/>
  <c r="E60" i="5"/>
  <c r="F60" i="5"/>
  <c r="G60" i="5"/>
  <c r="D60" i="5"/>
  <c r="H120" i="5"/>
  <c r="E40" i="5"/>
  <c r="F40" i="5"/>
  <c r="G40" i="5"/>
  <c r="D40" i="5"/>
  <c r="H144" i="5"/>
  <c r="D99" i="5"/>
  <c r="E99" i="5"/>
  <c r="F99" i="5"/>
  <c r="G99" i="5"/>
  <c r="C99" i="5"/>
  <c r="D105" i="5"/>
  <c r="E105" i="5"/>
  <c r="F105" i="5"/>
  <c r="G105" i="5"/>
  <c r="C105" i="5"/>
  <c r="D66" i="5"/>
  <c r="D71" i="5" s="1"/>
  <c r="E66" i="5"/>
  <c r="E71" i="5" s="1"/>
  <c r="F66" i="5"/>
  <c r="F71" i="5" s="1"/>
  <c r="G66" i="5"/>
  <c r="G71" i="5" s="1"/>
  <c r="C66" i="5"/>
  <c r="C71" i="5" s="1"/>
  <c r="E153" i="5"/>
  <c r="F153" i="5"/>
  <c r="G153" i="5"/>
  <c r="H153" i="5"/>
  <c r="I153" i="5"/>
  <c r="J153" i="5"/>
  <c r="K153" i="5"/>
  <c r="L153" i="5"/>
  <c r="D153" i="5"/>
  <c r="H71" i="5"/>
  <c r="H155" i="5" s="1"/>
  <c r="I71" i="5"/>
  <c r="I155" i="5" s="1"/>
  <c r="J71" i="5"/>
  <c r="J155" i="5" s="1"/>
  <c r="K71" i="5"/>
  <c r="K155" i="5" s="1"/>
  <c r="L71" i="5"/>
  <c r="L155" i="5" s="1"/>
  <c r="I120" i="5" l="1"/>
  <c r="H143" i="5"/>
  <c r="K156" i="5"/>
  <c r="I156" i="5"/>
  <c r="L156" i="5"/>
  <c r="J156" i="5"/>
  <c r="H156" i="5"/>
  <c r="G156" i="5"/>
  <c r="I119" i="5"/>
  <c r="I144" i="5" s="1"/>
  <c r="C106" i="5"/>
  <c r="E106" i="5"/>
  <c r="G106" i="5"/>
  <c r="F106" i="5"/>
  <c r="D106" i="5"/>
  <c r="G155" i="5"/>
  <c r="F155" i="5"/>
  <c r="F156" i="5" s="1"/>
  <c r="D155" i="5"/>
  <c r="D156" i="5" s="1"/>
  <c r="C155" i="5"/>
  <c r="C156" i="5" s="1"/>
  <c r="E155" i="5"/>
  <c r="E156" i="5" s="1"/>
  <c r="E139" i="5"/>
  <c r="F139" i="5"/>
  <c r="G139" i="5"/>
  <c r="D139" i="5"/>
  <c r="E138" i="5"/>
  <c r="F138" i="5"/>
  <c r="G138" i="5"/>
  <c r="D138" i="5"/>
  <c r="H11" i="5"/>
  <c r="I11" i="5" s="1"/>
  <c r="J11" i="5" s="1"/>
  <c r="K11" i="5" s="1"/>
  <c r="L11" i="5" s="1"/>
  <c r="J120" i="5" l="1"/>
  <c r="I143" i="5"/>
  <c r="J119" i="5"/>
  <c r="J144" i="5" s="1"/>
  <c r="E158" i="5"/>
  <c r="F158" i="5"/>
  <c r="G158" i="5"/>
  <c r="H158" i="5"/>
  <c r="D158" i="5"/>
  <c r="I112" i="5"/>
  <c r="J112" i="5"/>
  <c r="J145" i="5" s="1"/>
  <c r="K112" i="5"/>
  <c r="L112" i="5"/>
  <c r="H112" i="5"/>
  <c r="H145" i="5" s="1"/>
  <c r="D62" i="5"/>
  <c r="E62" i="5"/>
  <c r="F62" i="5"/>
  <c r="G62" i="5"/>
  <c r="C62" i="5"/>
  <c r="D61" i="5"/>
  <c r="E61" i="5"/>
  <c r="F61" i="5"/>
  <c r="G61" i="5"/>
  <c r="C61" i="5"/>
  <c r="K120" i="5" l="1"/>
  <c r="J143" i="5"/>
  <c r="K145" i="5"/>
  <c r="L145" i="5"/>
  <c r="I145" i="5"/>
  <c r="K119" i="5"/>
  <c r="K144" i="5" s="1"/>
  <c r="H9" i="5"/>
  <c r="I9" i="5" s="1"/>
  <c r="J9" i="5" s="1"/>
  <c r="K9" i="5" s="1"/>
  <c r="L9" i="5" s="1"/>
  <c r="H7" i="5"/>
  <c r="I7" i="5" s="1"/>
  <c r="J7" i="5" s="1"/>
  <c r="K7" i="5" s="1"/>
  <c r="L7" i="5" s="1"/>
  <c r="H5" i="5"/>
  <c r="I5" i="5" s="1"/>
  <c r="J5" i="5" s="1"/>
  <c r="K5" i="5" s="1"/>
  <c r="E140" i="5"/>
  <c r="F140" i="5"/>
  <c r="G140" i="5"/>
  <c r="D140" i="5"/>
  <c r="D136" i="5"/>
  <c r="E136" i="5"/>
  <c r="F136" i="5"/>
  <c r="G136" i="5"/>
  <c r="C136" i="5"/>
  <c r="D126" i="5"/>
  <c r="E126" i="5"/>
  <c r="F126" i="5"/>
  <c r="G126" i="5"/>
  <c r="C126" i="5"/>
  <c r="D121" i="5"/>
  <c r="E121" i="5"/>
  <c r="F121" i="5"/>
  <c r="G121" i="5"/>
  <c r="H121" i="5"/>
  <c r="I121" i="5"/>
  <c r="J121" i="5"/>
  <c r="C121" i="5"/>
  <c r="D113" i="5"/>
  <c r="E113" i="5"/>
  <c r="F113" i="5"/>
  <c r="G113" i="5"/>
  <c r="C113" i="5"/>
  <c r="D76" i="5"/>
  <c r="D34" i="5" s="1"/>
  <c r="E76" i="5"/>
  <c r="E33" i="5" s="1"/>
  <c r="F76" i="5"/>
  <c r="F33" i="5" s="1"/>
  <c r="G76" i="5"/>
  <c r="G33" i="5" s="1"/>
  <c r="C76" i="5"/>
  <c r="C33" i="5" s="1"/>
  <c r="D13" i="5"/>
  <c r="D18" i="5" s="1"/>
  <c r="E13" i="5"/>
  <c r="E17" i="5" s="1"/>
  <c r="F13" i="5"/>
  <c r="F20" i="5" s="1"/>
  <c r="G13" i="5"/>
  <c r="G20" i="5" s="1"/>
  <c r="C13" i="5"/>
  <c r="C18" i="5" s="1"/>
  <c r="E12" i="5"/>
  <c r="F12" i="5"/>
  <c r="G12" i="5"/>
  <c r="D12" i="5"/>
  <c r="E10" i="5"/>
  <c r="F10" i="5"/>
  <c r="G10" i="5"/>
  <c r="D10" i="5"/>
  <c r="E8" i="5"/>
  <c r="F8" i="5"/>
  <c r="G8" i="5"/>
  <c r="D8" i="5"/>
  <c r="E6" i="5"/>
  <c r="F6" i="5"/>
  <c r="G6" i="5"/>
  <c r="D6" i="5"/>
  <c r="L120" i="5" l="1"/>
  <c r="L143" i="5" s="1"/>
  <c r="K143" i="5"/>
  <c r="K121" i="5"/>
  <c r="L119" i="5"/>
  <c r="L144" i="5" s="1"/>
  <c r="F34" i="5"/>
  <c r="E34" i="5"/>
  <c r="G34" i="5"/>
  <c r="C52" i="5"/>
  <c r="G52" i="5"/>
  <c r="F52" i="5"/>
  <c r="G55" i="5"/>
  <c r="F55" i="5"/>
  <c r="E52" i="5"/>
  <c r="D52" i="5"/>
  <c r="C55" i="5"/>
  <c r="E55" i="5"/>
  <c r="D55" i="5"/>
  <c r="F127" i="5"/>
  <c r="F128" i="5" s="1"/>
  <c r="E127" i="5"/>
  <c r="E128" i="5" s="1"/>
  <c r="D127" i="5"/>
  <c r="D128" i="5" s="1"/>
  <c r="C127" i="5"/>
  <c r="C128" i="5" s="1"/>
  <c r="D33" i="5"/>
  <c r="D17" i="5"/>
  <c r="C75" i="5"/>
  <c r="C80" i="5" s="1"/>
  <c r="G127" i="5"/>
  <c r="G128" i="5" s="1"/>
  <c r="F18" i="5"/>
  <c r="I13" i="5"/>
  <c r="I148" i="5" s="1"/>
  <c r="I151" i="5" s="1"/>
  <c r="E75" i="5"/>
  <c r="E80" i="5" s="1"/>
  <c r="D75" i="5"/>
  <c r="D80" i="5" s="1"/>
  <c r="G14" i="5"/>
  <c r="G19" i="5"/>
  <c r="F14" i="5"/>
  <c r="E14" i="5"/>
  <c r="E18" i="5"/>
  <c r="E19" i="5"/>
  <c r="G18" i="5"/>
  <c r="F75" i="5"/>
  <c r="F80" i="5" s="1"/>
  <c r="H13" i="5"/>
  <c r="H148" i="5" s="1"/>
  <c r="H151" i="5" s="1"/>
  <c r="D19" i="5"/>
  <c r="E20" i="5"/>
  <c r="D20" i="5"/>
  <c r="D14" i="5"/>
  <c r="G75" i="5"/>
  <c r="G80" i="5" s="1"/>
  <c r="F19" i="5"/>
  <c r="L5" i="5"/>
  <c r="C34" i="5"/>
  <c r="G17" i="5"/>
  <c r="F17" i="5"/>
  <c r="C19" i="5"/>
  <c r="C17" i="5"/>
  <c r="C20" i="5"/>
  <c r="L52" i="5" l="1"/>
  <c r="H7" i="6"/>
  <c r="I7" i="6"/>
  <c r="L121" i="5"/>
  <c r="C83" i="5"/>
  <c r="G32" i="5"/>
  <c r="G83" i="5"/>
  <c r="I61" i="5"/>
  <c r="H61" i="5"/>
  <c r="C130" i="5"/>
  <c r="D130" i="5"/>
  <c r="C49" i="5"/>
  <c r="G131" i="5"/>
  <c r="E131" i="5"/>
  <c r="E130" i="5"/>
  <c r="H102" i="5"/>
  <c r="F131" i="5"/>
  <c r="F130" i="5"/>
  <c r="I102" i="5"/>
  <c r="G130" i="5"/>
  <c r="J52" i="5"/>
  <c r="C131" i="5"/>
  <c r="D131" i="5"/>
  <c r="J13" i="5"/>
  <c r="J148" i="5" s="1"/>
  <c r="J151" i="5" s="1"/>
  <c r="I55" i="5"/>
  <c r="I82" i="5" s="1"/>
  <c r="J55" i="5"/>
  <c r="K55" i="5"/>
  <c r="L55" i="5"/>
  <c r="H55" i="5"/>
  <c r="H82" i="5" s="1"/>
  <c r="K52" i="5"/>
  <c r="H84" i="5"/>
  <c r="H6" i="6" s="1"/>
  <c r="I52" i="5"/>
  <c r="I81" i="5" s="1"/>
  <c r="I84" i="5"/>
  <c r="I6" i="6" s="1"/>
  <c r="H52" i="5"/>
  <c r="H81" i="5" s="1"/>
  <c r="C32" i="5"/>
  <c r="C43" i="5"/>
  <c r="C26" i="5"/>
  <c r="L13" i="5"/>
  <c r="L148" i="5" s="1"/>
  <c r="L151" i="5" s="1"/>
  <c r="G26" i="5"/>
  <c r="K13" i="5"/>
  <c r="K148" i="5" s="1"/>
  <c r="K151" i="5" s="1"/>
  <c r="F43" i="5"/>
  <c r="F83" i="5"/>
  <c r="F49" i="5"/>
  <c r="F32" i="5"/>
  <c r="I76" i="5"/>
  <c r="I75" i="5"/>
  <c r="I14" i="5"/>
  <c r="E26" i="5"/>
  <c r="E49" i="5"/>
  <c r="E32" i="5"/>
  <c r="E83" i="5"/>
  <c r="E43" i="5"/>
  <c r="D49" i="5"/>
  <c r="D83" i="5"/>
  <c r="D32" i="5"/>
  <c r="D43" i="5"/>
  <c r="D26" i="5"/>
  <c r="H76" i="5"/>
  <c r="H75" i="5"/>
  <c r="H14" i="5"/>
  <c r="F26" i="5"/>
  <c r="G43" i="5"/>
  <c r="G49" i="5"/>
  <c r="G85" i="5" l="1"/>
  <c r="G88" i="5" s="1"/>
  <c r="G91" i="5" s="1"/>
  <c r="G70" i="5" s="1"/>
  <c r="D85" i="5"/>
  <c r="D88" i="5" s="1"/>
  <c r="D91" i="5" s="1"/>
  <c r="D70" i="5" s="1"/>
  <c r="C85" i="5"/>
  <c r="C88" i="5" s="1"/>
  <c r="C91" i="5" s="1"/>
  <c r="C70" i="5" s="1"/>
  <c r="F85" i="5"/>
  <c r="F88" i="5" s="1"/>
  <c r="F91" i="5" s="1"/>
  <c r="F70" i="5" s="1"/>
  <c r="E85" i="5"/>
  <c r="E88" i="5" s="1"/>
  <c r="E91" i="5" s="1"/>
  <c r="E70" i="5" s="1"/>
  <c r="K7" i="6"/>
  <c r="L7" i="6"/>
  <c r="J7" i="6"/>
  <c r="I80" i="5"/>
  <c r="I83" i="5" s="1"/>
  <c r="I85" i="5" s="1"/>
  <c r="I88" i="5" s="1"/>
  <c r="H80" i="5"/>
  <c r="H83" i="5" s="1"/>
  <c r="H85" i="5" s="1"/>
  <c r="H88" i="5" s="1"/>
  <c r="C29" i="5"/>
  <c r="J61" i="5"/>
  <c r="K61" i="5"/>
  <c r="L61" i="5"/>
  <c r="I138" i="5"/>
  <c r="H138" i="5"/>
  <c r="H101" i="5"/>
  <c r="H124" i="5"/>
  <c r="I101" i="5"/>
  <c r="I124" i="5"/>
  <c r="H136" i="5"/>
  <c r="H62" i="5"/>
  <c r="H63" i="5" s="1"/>
  <c r="I136" i="5"/>
  <c r="I62" i="5"/>
  <c r="J82" i="5"/>
  <c r="J84" i="5"/>
  <c r="J6" i="6" s="1"/>
  <c r="J81" i="5"/>
  <c r="L102" i="5"/>
  <c r="J102" i="5"/>
  <c r="J14" i="5"/>
  <c r="J75" i="5"/>
  <c r="J76" i="5"/>
  <c r="K102" i="5"/>
  <c r="K76" i="5"/>
  <c r="K81" i="5"/>
  <c r="K82" i="5"/>
  <c r="K84" i="5"/>
  <c r="K6" i="6" s="1"/>
  <c r="L76" i="5"/>
  <c r="L81" i="5"/>
  <c r="L82" i="5"/>
  <c r="L84" i="5"/>
  <c r="L6" i="6" s="1"/>
  <c r="L75" i="5"/>
  <c r="K14" i="5"/>
  <c r="K75" i="5"/>
  <c r="L14" i="5"/>
  <c r="D29" i="5"/>
  <c r="E29" i="5"/>
  <c r="F29" i="5"/>
  <c r="G29" i="5"/>
  <c r="L80" i="5" l="1"/>
  <c r="H3" i="6"/>
  <c r="H4" i="6" s="1"/>
  <c r="H5" i="6" s="1"/>
  <c r="I3" i="6"/>
  <c r="I4" i="6" s="1"/>
  <c r="I5" i="6" s="1"/>
  <c r="J80" i="5"/>
  <c r="J83" i="5" s="1"/>
  <c r="J85" i="5" s="1"/>
  <c r="J88" i="5" s="1"/>
  <c r="C135" i="5"/>
  <c r="K80" i="5"/>
  <c r="K83" i="5" s="1"/>
  <c r="K85" i="5" s="1"/>
  <c r="K88" i="5" s="1"/>
  <c r="D135" i="5"/>
  <c r="G135" i="5"/>
  <c r="F135" i="5"/>
  <c r="E135" i="5"/>
  <c r="K138" i="5"/>
  <c r="H139" i="5"/>
  <c r="I139" i="5"/>
  <c r="L138" i="5"/>
  <c r="J138" i="5"/>
  <c r="I89" i="5"/>
  <c r="I91" i="5" s="1"/>
  <c r="H89" i="5"/>
  <c r="H91" i="5" s="1"/>
  <c r="L136" i="5"/>
  <c r="L62" i="5"/>
  <c r="L101" i="5"/>
  <c r="L124" i="5"/>
  <c r="H140" i="5"/>
  <c r="H126" i="5"/>
  <c r="H127" i="5" s="1"/>
  <c r="J136" i="5"/>
  <c r="J62" i="5"/>
  <c r="J101" i="5"/>
  <c r="J124" i="5"/>
  <c r="H96" i="5"/>
  <c r="K136" i="5"/>
  <c r="K62" i="5"/>
  <c r="I140" i="5"/>
  <c r="I8" i="6" s="1"/>
  <c r="I126" i="5"/>
  <c r="I127" i="5" s="1"/>
  <c r="K101" i="5"/>
  <c r="K124" i="5"/>
  <c r="L83" i="5"/>
  <c r="L85" i="5" s="1"/>
  <c r="L88" i="5" s="1"/>
  <c r="H8" i="6" l="1"/>
  <c r="H9" i="6" s="1"/>
  <c r="H12" i="6" s="1"/>
  <c r="J3" i="6"/>
  <c r="J4" i="6" s="1"/>
  <c r="J5" i="6" s="1"/>
  <c r="I9" i="6"/>
  <c r="I12" i="6" s="1"/>
  <c r="D146" i="5"/>
  <c r="D157" i="5" s="1"/>
  <c r="D159" i="5" s="1"/>
  <c r="K89" i="5"/>
  <c r="K91" i="5" s="1"/>
  <c r="K3" i="6"/>
  <c r="K4" i="6" s="1"/>
  <c r="K5" i="6" s="1"/>
  <c r="C146" i="5"/>
  <c r="C157" i="5" s="1"/>
  <c r="C159" i="5" s="1"/>
  <c r="G146" i="5"/>
  <c r="G157" i="5" s="1"/>
  <c r="G159" i="5" s="1"/>
  <c r="L3" i="6"/>
  <c r="L4" i="6" s="1"/>
  <c r="L5" i="6" s="1"/>
  <c r="E146" i="5"/>
  <c r="E157" i="5" s="1"/>
  <c r="E159" i="5" s="1"/>
  <c r="F146" i="5"/>
  <c r="F157" i="5" s="1"/>
  <c r="F159" i="5" s="1"/>
  <c r="H99" i="5"/>
  <c r="I60" i="5"/>
  <c r="I63" i="5" s="1"/>
  <c r="I96" i="5" s="1"/>
  <c r="K139" i="5"/>
  <c r="L139" i="5"/>
  <c r="J139" i="5"/>
  <c r="J89" i="5"/>
  <c r="J91" i="5" s="1"/>
  <c r="I70" i="5"/>
  <c r="J140" i="5"/>
  <c r="J8" i="6" s="1"/>
  <c r="J126" i="5"/>
  <c r="J127" i="5" s="1"/>
  <c r="K140" i="5"/>
  <c r="K126" i="5"/>
  <c r="K127" i="5" s="1"/>
  <c r="L126" i="5"/>
  <c r="L127" i="5" s="1"/>
  <c r="L140" i="5"/>
  <c r="K8" i="6" l="1"/>
  <c r="K9" i="6" s="1"/>
  <c r="K12" i="6" s="1"/>
  <c r="L8" i="6"/>
  <c r="L9" i="6" s="1"/>
  <c r="J9" i="6"/>
  <c r="J12" i="6" s="1"/>
  <c r="I99" i="5"/>
  <c r="J60" i="5"/>
  <c r="J63" i="5" s="1"/>
  <c r="J96" i="5" s="1"/>
  <c r="H70" i="5"/>
  <c r="H111" i="5"/>
  <c r="I135" i="5"/>
  <c r="H135" i="5"/>
  <c r="K70" i="5"/>
  <c r="L89" i="5"/>
  <c r="J70" i="5"/>
  <c r="H146" i="5" l="1"/>
  <c r="H157" i="5" s="1"/>
  <c r="H159" i="5" s="1"/>
  <c r="I146" i="5"/>
  <c r="I157" i="5" s="1"/>
  <c r="L12" i="6"/>
  <c r="C26" i="6" s="1"/>
  <c r="C28" i="6"/>
  <c r="C30" i="6" s="1"/>
  <c r="L91" i="5"/>
  <c r="L70" i="5" s="1"/>
  <c r="J99" i="5"/>
  <c r="K60" i="5"/>
  <c r="K63" i="5" s="1"/>
  <c r="K96" i="5" s="1"/>
  <c r="I111" i="5"/>
  <c r="H113" i="5"/>
  <c r="H128" i="5" s="1"/>
  <c r="J135" i="5"/>
  <c r="K135" i="5"/>
  <c r="H103" i="5" l="1"/>
  <c r="C31" i="6"/>
  <c r="C34" i="6" s="1"/>
  <c r="C36" i="6" s="1"/>
  <c r="C42" i="6" s="1"/>
  <c r="C29" i="6"/>
  <c r="K146" i="5"/>
  <c r="K157" i="5" s="1"/>
  <c r="L135" i="5"/>
  <c r="J146" i="5"/>
  <c r="J157" i="5" s="1"/>
  <c r="K99" i="5"/>
  <c r="L60" i="5"/>
  <c r="L63" i="5" s="1"/>
  <c r="L96" i="5" s="1"/>
  <c r="L99" i="5" s="1"/>
  <c r="J111" i="5"/>
  <c r="I113" i="5"/>
  <c r="I128" i="5" s="1"/>
  <c r="C38" i="6" l="1"/>
  <c r="H14" i="8" s="1"/>
  <c r="H12" i="8"/>
  <c r="L146" i="5"/>
  <c r="L157" i="5" s="1"/>
  <c r="I158" i="5"/>
  <c r="I159" i="5" s="1"/>
  <c r="I103" i="5" s="1"/>
  <c r="H105" i="5"/>
  <c r="H106" i="5" s="1"/>
  <c r="K111" i="5"/>
  <c r="J113" i="5"/>
  <c r="J128" i="5" s="1"/>
  <c r="H131" i="5" l="1"/>
  <c r="H130" i="5"/>
  <c r="J158" i="5"/>
  <c r="J159" i="5" s="1"/>
  <c r="J103" i="5" s="1"/>
  <c r="I105" i="5"/>
  <c r="I106" i="5" s="1"/>
  <c r="L111" i="5"/>
  <c r="L113" i="5" s="1"/>
  <c r="L128" i="5" s="1"/>
  <c r="K113" i="5"/>
  <c r="K128" i="5" s="1"/>
  <c r="K158" i="5" l="1"/>
  <c r="K159" i="5" s="1"/>
  <c r="K103" i="5" s="1"/>
  <c r="J105" i="5"/>
  <c r="J106" i="5" s="1"/>
  <c r="I130" i="5"/>
  <c r="I131" i="5"/>
  <c r="J130" i="5" l="1"/>
  <c r="J131" i="5"/>
  <c r="L158" i="5"/>
  <c r="L159" i="5" s="1"/>
  <c r="L103" i="5" s="1"/>
  <c r="L105" i="5" s="1"/>
  <c r="L106" i="5" s="1"/>
  <c r="K105" i="5"/>
  <c r="K106" i="5" s="1"/>
  <c r="K130" i="5" l="1"/>
  <c r="K131" i="5"/>
  <c r="L131" i="5"/>
  <c r="L130" i="5"/>
</calcChain>
</file>

<file path=xl/sharedStrings.xml><?xml version="1.0" encoding="utf-8"?>
<sst xmlns="http://schemas.openxmlformats.org/spreadsheetml/2006/main" count="189" uniqueCount="179">
  <si>
    <t>HISTORICALS</t>
  </si>
  <si>
    <t>PARTICULARS</t>
  </si>
  <si>
    <t>Gross Profit</t>
  </si>
  <si>
    <t>EBITDA</t>
  </si>
  <si>
    <t>EBIT</t>
  </si>
  <si>
    <t>Net Income</t>
  </si>
  <si>
    <t>ASSETS</t>
  </si>
  <si>
    <t>Non-Current Assets</t>
  </si>
  <si>
    <t>Other Intangible Assets</t>
  </si>
  <si>
    <t>Other Non-Current Assets</t>
  </si>
  <si>
    <t>Total Non-Current Assets</t>
  </si>
  <si>
    <t>Current Assets</t>
  </si>
  <si>
    <t>Inventories</t>
  </si>
  <si>
    <t>Trade Receivables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</si>
  <si>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</si>
  <si>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</si>
  <si>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</si>
  <si>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</si>
  <si>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</si>
  <si>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</si>
  <si>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</si>
  <si>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</si>
  <si>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</si>
  <si>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</si>
  <si>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Borrowings</t>
  </si>
  <si>
    <t>Other Non-Current Liabilities</t>
  </si>
  <si>
    <t>Other Liabilities (Provisions &amp; Tax)</t>
  </si>
  <si>
    <t>Total Non-Current Liabilities</t>
  </si>
  <si>
    <t>Current liabilities</t>
  </si>
  <si>
    <t>Trade Payables</t>
  </si>
  <si>
    <t>Other Current Liabilities</t>
  </si>
  <si>
    <t>Total Current liabilities</t>
  </si>
  <si>
    <t>Total Liabilities</t>
  </si>
  <si>
    <t>Total Equity and Liabilities</t>
  </si>
  <si>
    <t>(A) CASH FLOW FROM OPERATIONS (CFO)</t>
  </si>
  <si>
    <t>(+) Depreciation &amp; Amortization</t>
  </si>
  <si>
    <t>Changes in Working Capital:</t>
  </si>
  <si>
    <t>(Increase) / Decrease in Trade Receivables</t>
  </si>
  <si>
    <t>(Increase) / Decrease in Inventories</t>
  </si>
  <si>
    <t>Increase / (Decrease) in Trade Payables</t>
  </si>
  <si>
    <t>Net Cash from Operations</t>
  </si>
  <si>
    <t>(B) CASH FLOW FROM INVESTING (CFI)</t>
  </si>
  <si>
    <t>Capital Expenditures (Net PPE Movement)</t>
  </si>
  <si>
    <t>Net Cash from Investing</t>
  </si>
  <si>
    <t>(C) CASH FLOW FROM FINANCING (CFF)</t>
  </si>
  <si>
    <t>Net Borrowings</t>
  </si>
  <si>
    <t>Net Cash from Financing</t>
  </si>
  <si>
    <t>Net Change in Cash (A+B+C)</t>
  </si>
  <si>
    <t>Beginning Cash Balance</t>
  </si>
  <si>
    <t>Ending Cash Balance</t>
  </si>
  <si>
    <t>Revenue from Operations</t>
  </si>
  <si>
    <t>COGS</t>
  </si>
  <si>
    <t>Cost of Materials Consumed</t>
  </si>
  <si>
    <t>Purchase of Stock in Trade</t>
  </si>
  <si>
    <t>Changes in Inventories of finished goods (including stock in trade) and Work in Progress</t>
  </si>
  <si>
    <t>Employee Benefits Expenses</t>
  </si>
  <si>
    <t>Other Expenses</t>
  </si>
  <si>
    <t>Depreciation and Amortisation Expense</t>
  </si>
  <si>
    <t>Finance Costs</t>
  </si>
  <si>
    <t>EBT</t>
  </si>
  <si>
    <t>Non-Controlling Interests</t>
  </si>
  <si>
    <t>Segment Revenue</t>
  </si>
  <si>
    <t>Homecare</t>
  </si>
  <si>
    <t>Beauty &amp; Personal Care</t>
  </si>
  <si>
    <t>Foods &amp; Refreshments</t>
  </si>
  <si>
    <t>Others</t>
  </si>
  <si>
    <t>Total</t>
  </si>
  <si>
    <t>Segment Mix</t>
  </si>
  <si>
    <t>Inventory Days</t>
  </si>
  <si>
    <t>CAPEX (% of Revenue)</t>
  </si>
  <si>
    <t>Depreciation (% of Revenue)</t>
  </si>
  <si>
    <t>COGS (% of Revenue)</t>
  </si>
  <si>
    <t>ASSUMPTIONS</t>
  </si>
  <si>
    <t>COGS Assumptions</t>
  </si>
  <si>
    <t>Margin Assumptions</t>
  </si>
  <si>
    <t>EBITDA Margin (%)</t>
  </si>
  <si>
    <t>Working Capital Assumptions</t>
  </si>
  <si>
    <t>Recievable Days</t>
  </si>
  <si>
    <t>Payable Days</t>
  </si>
  <si>
    <t>CAPEX Assumptions</t>
  </si>
  <si>
    <t>Tax Assumptions</t>
  </si>
  <si>
    <t>Tax Rate (%)</t>
  </si>
  <si>
    <t>Depreciation Assumptions</t>
  </si>
  <si>
    <t>INCOME STATEMENT</t>
  </si>
  <si>
    <t>BALANCE SHEET</t>
  </si>
  <si>
    <t>CASH FLOW STATEMENT</t>
  </si>
  <si>
    <t>FORECASTS</t>
  </si>
  <si>
    <t>Expense of Employees Assumption</t>
  </si>
  <si>
    <t>Other Expense Assumption</t>
  </si>
  <si>
    <t>Other Expense (% of Revenue)</t>
  </si>
  <si>
    <t>Employee Benfit Cost (% of Revenue)</t>
  </si>
  <si>
    <t>Balance Sheet Check:</t>
  </si>
  <si>
    <t>Error Margin (If any)</t>
  </si>
  <si>
    <t>Opening Net PPE</t>
  </si>
  <si>
    <t>Add: Capex</t>
  </si>
  <si>
    <t>Less: Depreciation</t>
  </si>
  <si>
    <t>Closing Net PPE</t>
  </si>
  <si>
    <t>Tax Expense</t>
  </si>
  <si>
    <t>EAT</t>
  </si>
  <si>
    <t>Dividend per Share</t>
  </si>
  <si>
    <t>Interim</t>
  </si>
  <si>
    <t>Final</t>
  </si>
  <si>
    <t>Special</t>
  </si>
  <si>
    <t>Dividend Payout Ratio (Total Dividend/PAT)</t>
  </si>
  <si>
    <t>Dividend and Payout</t>
  </si>
  <si>
    <t>Dividends Paid</t>
  </si>
  <si>
    <t xml:space="preserve">Total Dividends </t>
  </si>
  <si>
    <t>Total Outstanding Shares</t>
  </si>
  <si>
    <t>Net PP&amp;E + CWIP</t>
  </si>
  <si>
    <t>Other Income</t>
  </si>
  <si>
    <t>Exceptional Items</t>
  </si>
  <si>
    <t>Other Liabilities (Provisions &amp; Tax) Assumptions</t>
  </si>
  <si>
    <t>Other Liabilities (Provisions &amp; Tax) Growth (%)</t>
  </si>
  <si>
    <t>Finance Cost Assumptions</t>
  </si>
  <si>
    <t>Finance Cost Rate (%)</t>
  </si>
  <si>
    <t>Other Income Assumptions</t>
  </si>
  <si>
    <t>Other Income (%)</t>
  </si>
  <si>
    <t>Total Cash and Bank Balances</t>
  </si>
  <si>
    <t>(Increase) / Decrease in Other Current Assets</t>
  </si>
  <si>
    <t>Increase / (Decrease) in Other Non-Current Liabilities</t>
  </si>
  <si>
    <t>Increase / (Decrease) in Non-Controlling Interests</t>
  </si>
  <si>
    <t>Less: Taxes on EBIT</t>
  </si>
  <si>
    <t>NOPAT (Net Operating Profit After Tax)</t>
  </si>
  <si>
    <t>(-) Capital Expenditures (CAPEX)</t>
  </si>
  <si>
    <t>(+/-) Changes in Working Capital</t>
  </si>
  <si>
    <t>Unlevered Free Cash Flow (UFCF)</t>
  </si>
  <si>
    <t>Discount Period</t>
  </si>
  <si>
    <t>Discount Factor</t>
  </si>
  <si>
    <t>Present Value (PV) of UFCF</t>
  </si>
  <si>
    <t>Risk Free Rate</t>
  </si>
  <si>
    <t>Equity Risk Premium</t>
  </si>
  <si>
    <t>Beta</t>
  </si>
  <si>
    <t>Cost of Equity (Ke)</t>
  </si>
  <si>
    <t>Pre-Tax Cost of Debt</t>
  </si>
  <si>
    <t>Tax Rate</t>
  </si>
  <si>
    <t>After-Tax Cost of Debt (Kd)</t>
  </si>
  <si>
    <t>Weight of Equity</t>
  </si>
  <si>
    <t>Weight of Debt</t>
  </si>
  <si>
    <t>WACC</t>
  </si>
  <si>
    <t>Sum of PV of UCFC</t>
  </si>
  <si>
    <t>Terminal Growth Rate</t>
  </si>
  <si>
    <t>Terminal Value (TV)</t>
  </si>
  <si>
    <t>Implied Exit EV/EBITDA</t>
  </si>
  <si>
    <t>PV of Terminal Value (TV)</t>
  </si>
  <si>
    <t>Enterprise Value (EV)</t>
  </si>
  <si>
    <t>Less: Total Debt</t>
  </si>
  <si>
    <t>Add: Cash and Cash Equivalents</t>
  </si>
  <si>
    <t>Implied Equity Value</t>
  </si>
  <si>
    <t>Outstanding Shares (in millions)</t>
  </si>
  <si>
    <t>Implied Share Price</t>
  </si>
  <si>
    <t>Current Market Price</t>
  </si>
  <si>
    <t>Upside / (Downside) vs CMP</t>
  </si>
  <si>
    <t>Market Capitalization</t>
  </si>
  <si>
    <t>Lease Liabilities</t>
  </si>
  <si>
    <t>Increase / (Decrease) in Other Liabilities (Provisions &amp; Tax)</t>
  </si>
  <si>
    <t>Increase) / Decrease in Other Non-Current Assets</t>
  </si>
  <si>
    <t>Repayment of Lease Liabilities</t>
  </si>
  <si>
    <t>Increase / (Decrease) in Other Current Liabilities</t>
  </si>
  <si>
    <t>Lease Liabilities Assumption</t>
  </si>
  <si>
    <t>Lease Liabilities Growth (%)</t>
  </si>
  <si>
    <t>3-STATEMENT FINANCIAL MODEL &amp; DCF VALUATION</t>
  </si>
  <si>
    <t>DATE PREPARED:</t>
  </si>
  <si>
    <t>LAST UPDATED:</t>
  </si>
  <si>
    <t>PREPARED BY: AKASHDEEP MUKHERJEE</t>
  </si>
  <si>
    <t>TABLE OF CONTENTS</t>
  </si>
  <si>
    <t>VALUATION SUMMARY</t>
  </si>
  <si>
    <t>CURRENT MARKET PRICE</t>
  </si>
  <si>
    <t>IMPLIED SHARE PRICE (DCF)</t>
  </si>
  <si>
    <t>IMPLIED UPSIDE/ (DOWNSIDE) (AS PER IMPLIED SHARE PRICE (DCF))</t>
  </si>
  <si>
    <t>(Increase) / Decrease in Intangible Assets</t>
  </si>
  <si>
    <t>HINDUSTAN UNILEVER</t>
  </si>
  <si>
    <t>NSE:HINDUNILVR</t>
  </si>
  <si>
    <t>BLUE TEXT: HARDCODED INPUTS &amp; HISTORICAL ACTUALS</t>
  </si>
  <si>
    <t>BLACK TEXT: CALCULATIONS WITHIN THE SAME SHEET</t>
  </si>
  <si>
    <t>GREEN TEXT: LINKS TO OTHER SHEETS IN THIS WORKBOOK</t>
  </si>
  <si>
    <t>MODEL COLOR CODING LEGEND</t>
  </si>
  <si>
    <t>1. 3 STATEMENT MODEL</t>
  </si>
  <si>
    <t>2. DCF VALUATION &amp; SENSITIVITY ANALYSIS</t>
  </si>
  <si>
    <t>SENSETIVITY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</si>
</sst>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8" formatCode="0.0000"/>
    <numFmt numFmtId="174" formatCode="&quot;₹&quot;\ 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u/>
      <sz val="10"/>
      <color theme="10"/>
      <name val="Arial"/>
      <family val="2"/>
    </font>
    <font>
      <sz val="11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9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14" fontId="4" fillId="9" borderId="0" xfId="0" applyNumberFormat="1" applyFont="1" applyFill="1" applyAlignment="1">
      <alignment horizontal="center" vertical="center" wrapText="1"/>
    </xf>
    <xf numFmtId="0" fontId="5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164" fontId="8" fillId="0" borderId="0" xfId="1" applyNumberFormat="1" applyFont="1" applyAlignment="1">
      <alignment horizontal="center" vertical="center" wrapText="1"/>
    </xf>
    <xf numFmtId="174" fontId="8" fillId="0" borderId="0" xfId="0" applyNumberFormat="1" applyFont="1" applyAlignment="1">
      <alignment horizontal="center" vertical="center" wrapText="1"/>
    </xf>
    <xf numFmtId="174" fontId="7" fillId="0" borderId="0" xfId="0" applyNumberFormat="1" applyFont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10" fillId="3" borderId="10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3" fillId="0" borderId="0" xfId="1" applyNumberFormat="1" applyFont="1"/>
    <xf numFmtId="164" fontId="4" fillId="0" borderId="0" xfId="1" applyNumberFormat="1" applyFont="1"/>
    <xf numFmtId="164" fontId="3" fillId="0" borderId="0" xfId="1" applyNumberFormat="1" applyFont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0" xfId="0" applyNumberFormat="1" applyFont="1"/>
    <xf numFmtId="164" fontId="3" fillId="0" borderId="0" xfId="0" applyNumberFormat="1" applyFont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6" borderId="0" xfId="1" applyNumberFormat="1" applyFont="1" applyFill="1" applyBorder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4" fontId="6" fillId="0" borderId="0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164" fontId="7" fillId="0" borderId="0" xfId="1" applyNumberFormat="1" applyFont="1" applyAlignment="1">
      <alignment horizontal="center" vertical="center" wrapText="1"/>
    </xf>
    <xf numFmtId="164" fontId="7" fillId="0" borderId="0" xfId="1" applyNumberFormat="1" applyFon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165" fontId="7" fillId="0" borderId="0" xfId="1" applyNumberFormat="1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165" fontId="13" fillId="0" borderId="12" xfId="1" applyNumberFormat="1" applyFont="1" applyBorder="1" applyAlignment="1">
      <alignment horizontal="center" vertical="center" wrapText="1"/>
    </xf>
    <xf numFmtId="165" fontId="13" fillId="0" borderId="11" xfId="1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13" fillId="0" borderId="12" xfId="0" applyNumberFormat="1" applyFont="1" applyBorder="1" applyAlignment="1">
      <alignment horizontal="center" vertical="center" wrapText="1"/>
    </xf>
    <xf numFmtId="165" fontId="13" fillId="0" borderId="11" xfId="0" applyNumberFormat="1" applyFont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5" fontId="6" fillId="6" borderId="0" xfId="0" applyNumberFormat="1" applyFont="1" applyFill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165" fontId="13" fillId="0" borderId="13" xfId="0" applyNumberFormat="1" applyFont="1" applyBorder="1" applyAlignment="1">
      <alignment horizontal="center" vertical="center" wrapText="1"/>
    </xf>
    <xf numFmtId="165" fontId="13" fillId="0" borderId="14" xfId="0" applyNumberFormat="1" applyFont="1" applyBorder="1" applyAlignment="1">
      <alignment horizontal="center" vertical="center" wrapText="1"/>
    </xf>
    <xf numFmtId="0" fontId="13" fillId="5" borderId="3" xfId="0" applyFont="1" applyFill="1" applyBorder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165" fontId="6" fillId="5" borderId="0" xfId="0" applyNumberFormat="1" applyFont="1" applyFill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165" fontId="14" fillId="0" borderId="1" xfId="0" applyNumberFormat="1" applyFont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 vertical="center" wrapText="1"/>
    </xf>
    <xf numFmtId="165" fontId="13" fillId="6" borderId="0" xfId="0" applyNumberFormat="1" applyFont="1" applyFill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165" fontId="13" fillId="0" borderId="5" xfId="0" applyNumberFormat="1" applyFont="1" applyBorder="1" applyAlignment="1">
      <alignment horizontal="center" vertical="center" wrapText="1"/>
    </xf>
    <xf numFmtId="165" fontId="13" fillId="0" borderId="4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165" fontId="6" fillId="0" borderId="7" xfId="0" applyNumberFormat="1" applyFont="1" applyBorder="1" applyAlignment="1">
      <alignment horizontal="center" vertical="center" wrapText="1"/>
    </xf>
    <xf numFmtId="165" fontId="6" fillId="0" borderId="9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10" xfId="0" applyFont="1" applyBorder="1"/>
    <xf numFmtId="0" fontId="6" fillId="0" borderId="16" xfId="0" applyFont="1" applyBorder="1" applyAlignment="1">
      <alignment horizontal="left" vertical="center" wrapText="1"/>
    </xf>
    <xf numFmtId="165" fontId="6" fillId="0" borderId="12" xfId="0" applyNumberFormat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165" fontId="6" fillId="0" borderId="13" xfId="0" applyNumberFormat="1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10" fillId="4" borderId="0" xfId="0" applyFont="1" applyFill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6" fillId="0" borderId="16" xfId="0" applyFont="1" applyBorder="1"/>
    <xf numFmtId="0" fontId="6" fillId="0" borderId="0" xfId="0" applyFont="1"/>
    <xf numFmtId="165" fontId="8" fillId="0" borderId="19" xfId="0" applyNumberFormat="1" applyFont="1" applyBorder="1"/>
    <xf numFmtId="165" fontId="8" fillId="0" borderId="0" xfId="0" applyNumberFormat="1" applyFont="1"/>
    <xf numFmtId="165" fontId="8" fillId="0" borderId="11" xfId="0" applyNumberFormat="1" applyFont="1" applyBorder="1"/>
    <xf numFmtId="165" fontId="6" fillId="0" borderId="3" xfId="0" applyNumberFormat="1" applyFont="1" applyBorder="1"/>
    <xf numFmtId="165" fontId="6" fillId="0" borderId="0" xfId="0" applyNumberFormat="1" applyFont="1"/>
    <xf numFmtId="165" fontId="6" fillId="0" borderId="1" xfId="0" applyNumberFormat="1" applyFont="1" applyBorder="1"/>
    <xf numFmtId="165" fontId="8" fillId="0" borderId="3" xfId="0" applyNumberFormat="1" applyFont="1" applyBorder="1"/>
    <xf numFmtId="165" fontId="8" fillId="0" borderId="1" xfId="0" applyNumberFormat="1" applyFont="1" applyBorder="1"/>
    <xf numFmtId="0" fontId="6" fillId="0" borderId="12" xfId="0" applyFont="1" applyBorder="1"/>
    <xf numFmtId="165" fontId="6" fillId="0" borderId="19" xfId="0" applyNumberFormat="1" applyFont="1" applyBorder="1"/>
    <xf numFmtId="165" fontId="6" fillId="0" borderId="12" xfId="0" applyNumberFormat="1" applyFont="1" applyBorder="1"/>
    <xf numFmtId="165" fontId="6" fillId="0" borderId="11" xfId="0" applyNumberFormat="1" applyFont="1" applyBorder="1"/>
    <xf numFmtId="165" fontId="7" fillId="0" borderId="3" xfId="0" applyNumberFormat="1" applyFont="1" applyBorder="1"/>
    <xf numFmtId="165" fontId="7" fillId="0" borderId="0" xfId="0" applyNumberFormat="1" applyFont="1"/>
    <xf numFmtId="165" fontId="7" fillId="0" borderId="1" xfId="0" applyNumberFormat="1" applyFont="1" applyBorder="1"/>
    <xf numFmtId="168" fontId="6" fillId="0" borderId="3" xfId="0" applyNumberFormat="1" applyFont="1" applyBorder="1"/>
    <xf numFmtId="168" fontId="6" fillId="0" borderId="0" xfId="0" applyNumberFormat="1" applyFont="1"/>
    <xf numFmtId="168" fontId="6" fillId="0" borderId="1" xfId="0" applyNumberFormat="1" applyFont="1" applyBorder="1"/>
    <xf numFmtId="0" fontId="6" fillId="0" borderId="20" xfId="0" applyFont="1" applyBorder="1"/>
    <xf numFmtId="0" fontId="6" fillId="0" borderId="4" xfId="0" applyFont="1" applyBorder="1"/>
    <xf numFmtId="165" fontId="6" fillId="0" borderId="6" xfId="0" applyNumberFormat="1" applyFont="1" applyBorder="1"/>
    <xf numFmtId="165" fontId="6" fillId="0" borderId="4" xfId="0" applyNumberFormat="1" applyFont="1" applyBorder="1"/>
    <xf numFmtId="165" fontId="6" fillId="0" borderId="5" xfId="0" applyNumberFormat="1" applyFont="1" applyBorder="1"/>
    <xf numFmtId="164" fontId="7" fillId="0" borderId="11" xfId="1" applyNumberFormat="1" applyFont="1" applyBorder="1"/>
    <xf numFmtId="164" fontId="7" fillId="0" borderId="1" xfId="1" applyNumberFormat="1" applyFont="1" applyBorder="1"/>
    <xf numFmtId="0" fontId="7" fillId="0" borderId="1" xfId="0" applyFont="1" applyBorder="1"/>
    <xf numFmtId="164" fontId="6" fillId="0" borderId="1" xfId="0" applyNumberFormat="1" applyFont="1" applyBorder="1"/>
    <xf numFmtId="164" fontId="6" fillId="0" borderId="1" xfId="1" applyNumberFormat="1" applyFont="1" applyBorder="1"/>
    <xf numFmtId="9" fontId="7" fillId="0" borderId="1" xfId="1" applyFont="1" applyBorder="1"/>
    <xf numFmtId="0" fontId="8" fillId="0" borderId="1" xfId="0" applyFont="1" applyBorder="1"/>
    <xf numFmtId="164" fontId="6" fillId="0" borderId="8" xfId="1" applyNumberFormat="1" applyFont="1" applyBorder="1"/>
    <xf numFmtId="165" fontId="13" fillId="0" borderId="8" xfId="1" applyNumberFormat="1" applyFont="1" applyBorder="1" applyAlignment="1">
      <alignment horizontal="center" vertical="center"/>
    </xf>
    <xf numFmtId="164" fontId="13" fillId="0" borderId="9" xfId="1" applyNumberFormat="1" applyFont="1" applyBorder="1" applyAlignment="1">
      <alignment horizontal="center" vertical="center"/>
    </xf>
    <xf numFmtId="164" fontId="13" fillId="0" borderId="8" xfId="1" applyNumberFormat="1" applyFont="1" applyBorder="1" applyAlignment="1"/>
    <xf numFmtId="164" fontId="13" fillId="0" borderId="1" xfId="1" applyNumberFormat="1" applyFont="1" applyBorder="1" applyAlignment="1">
      <alignment horizontal="center" vertical="center" wrapText="1"/>
    </xf>
    <xf numFmtId="164" fontId="13" fillId="0" borderId="10" xfId="1" applyNumberFormat="1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F672-7834-458C-92F1-56CFBFE15EFC}">
  <dimension ref="B1:O15"/>
  <sheetViews>
    <sheetView showGridLines="0" tabSelected="1" workbookViewId="0"/>
  </sheetViews>
  <sheetFormatPr defaultRowHeight="14" x14ac:dyDescent="0.3"/>
  <cols>
    <col min="1" max="1" width="2.6328125" style="1" customWidth="1"/>
    <col min="2" max="17" width="11.81640625" style="1" customWidth="1"/>
    <col min="18" max="16384" width="8.7265625" style="1"/>
  </cols>
  <sheetData>
    <row r="1" spans="2:15" ht="25" customHeight="1" x14ac:dyDescent="0.3">
      <c r="B1" s="11" t="s">
        <v>170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2:15" x14ac:dyDescent="0.3">
      <c r="B2" s="16" t="s">
        <v>171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spans="2:15" ht="16" customHeight="1" x14ac:dyDescent="0.3">
      <c r="B4" s="12" t="s">
        <v>160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6" spans="2:15" x14ac:dyDescent="0.3">
      <c r="B6" s="14" t="s">
        <v>161</v>
      </c>
      <c r="C6" s="14"/>
      <c r="D6" s="14"/>
      <c r="E6" s="14"/>
      <c r="F6" s="15">
        <v>46138</v>
      </c>
      <c r="G6" s="15"/>
      <c r="H6" s="15"/>
      <c r="I6" s="14" t="s">
        <v>162</v>
      </c>
      <c r="J6" s="14"/>
      <c r="K6" s="14"/>
      <c r="L6" s="14"/>
      <c r="M6" s="15">
        <f ca="1">NOW()</f>
        <v>46139.657258564817</v>
      </c>
      <c r="N6" s="15"/>
      <c r="O6" s="15"/>
    </row>
    <row r="7" spans="2:15" x14ac:dyDescent="0.3">
      <c r="B7" s="22" t="s">
        <v>163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</row>
    <row r="8" spans="2:1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x14ac:dyDescent="0.3">
      <c r="B9" s="17" t="s">
        <v>164</v>
      </c>
      <c r="C9" s="17"/>
      <c r="D9" s="17"/>
      <c r="E9" s="2"/>
      <c r="F9" s="17" t="s">
        <v>165</v>
      </c>
      <c r="G9" s="17"/>
      <c r="H9" s="17"/>
      <c r="I9" s="17"/>
      <c r="J9" s="2"/>
      <c r="K9" s="18" t="s">
        <v>175</v>
      </c>
      <c r="L9" s="18"/>
      <c r="M9" s="18"/>
      <c r="N9" s="18"/>
      <c r="O9" s="2"/>
    </row>
    <row r="10" spans="2:15" ht="25" customHeight="1" x14ac:dyDescent="0.3">
      <c r="B10" s="23" t="s">
        <v>176</v>
      </c>
      <c r="C10" s="23"/>
      <c r="D10" s="23"/>
      <c r="E10" s="5"/>
      <c r="F10" s="4" t="s">
        <v>166</v>
      </c>
      <c r="G10" s="4"/>
      <c r="H10" s="21">
        <v>2364</v>
      </c>
      <c r="I10" s="21"/>
      <c r="J10" s="5"/>
      <c r="K10" s="6" t="s">
        <v>172</v>
      </c>
      <c r="L10" s="6"/>
      <c r="M10" s="6"/>
      <c r="N10" s="6"/>
      <c r="O10" s="2"/>
    </row>
    <row r="11" spans="2:15" ht="5" customHeight="1" x14ac:dyDescent="0.3">
      <c r="B11" s="5"/>
      <c r="C11" s="5"/>
      <c r="D11" s="5"/>
      <c r="E11" s="5"/>
      <c r="F11" s="7"/>
      <c r="G11" s="5"/>
      <c r="H11" s="5"/>
      <c r="I11" s="5"/>
      <c r="J11" s="5"/>
      <c r="K11" s="8"/>
      <c r="L11" s="8"/>
      <c r="M11" s="8"/>
      <c r="N11" s="8"/>
      <c r="O11" s="2"/>
    </row>
    <row r="12" spans="2:15" ht="25" customHeight="1" x14ac:dyDescent="0.3">
      <c r="B12" s="23" t="s">
        <v>177</v>
      </c>
      <c r="C12" s="23"/>
      <c r="D12" s="23"/>
      <c r="E12" s="5"/>
      <c r="F12" s="4" t="s">
        <v>167</v>
      </c>
      <c r="G12" s="4"/>
      <c r="H12" s="20">
        <f>DCF!C36</f>
        <v>938.31513987869744</v>
      </c>
      <c r="I12" s="20"/>
      <c r="J12" s="5"/>
      <c r="K12" s="9" t="s">
        <v>173</v>
      </c>
      <c r="L12" s="9"/>
      <c r="M12" s="9"/>
      <c r="N12" s="9"/>
      <c r="O12" s="2"/>
    </row>
    <row r="13" spans="2:15" ht="5" customHeight="1" x14ac:dyDescent="0.3">
      <c r="B13" s="5"/>
      <c r="C13" s="5"/>
      <c r="D13" s="5"/>
      <c r="E13" s="5"/>
      <c r="F13" s="5"/>
      <c r="G13" s="5"/>
      <c r="H13" s="5"/>
      <c r="I13" s="5"/>
      <c r="J13" s="5"/>
      <c r="K13" s="8"/>
      <c r="L13" s="8"/>
      <c r="M13" s="8"/>
      <c r="N13" s="8"/>
      <c r="O13" s="2"/>
    </row>
    <row r="14" spans="2:15" ht="25" customHeight="1" x14ac:dyDescent="0.3">
      <c r="E14" s="5"/>
      <c r="F14" s="4" t="s">
        <v>168</v>
      </c>
      <c r="G14" s="4"/>
      <c r="H14" s="19">
        <f>DCF!C38</f>
        <v>-0.60003617225971972</v>
      </c>
      <c r="I14" s="19"/>
      <c r="J14" s="5"/>
      <c r="K14" s="10" t="s">
        <v>174</v>
      </c>
      <c r="L14" s="10"/>
      <c r="M14" s="10"/>
      <c r="N14" s="10"/>
      <c r="O14" s="2"/>
    </row>
    <row r="15" spans="2:15" ht="5" customHeight="1" x14ac:dyDescent="0.3"/>
  </sheetData>
  <mergeCells count="22">
    <mergeCell ref="H14:I14"/>
    <mergeCell ref="F14:G14"/>
    <mergeCell ref="B7:O7"/>
    <mergeCell ref="K10:N10"/>
    <mergeCell ref="K12:N12"/>
    <mergeCell ref="K14:N14"/>
    <mergeCell ref="K9:N9"/>
    <mergeCell ref="B12:D12"/>
    <mergeCell ref="B10:D10"/>
    <mergeCell ref="B9:D9"/>
    <mergeCell ref="F9:I9"/>
    <mergeCell ref="F10:G10"/>
    <mergeCell ref="F12:G12"/>
    <mergeCell ref="H10:I10"/>
    <mergeCell ref="H12:I12"/>
    <mergeCell ref="B2:O2"/>
    <mergeCell ref="B1:O1"/>
    <mergeCell ref="B4:O4"/>
    <mergeCell ref="B6:E6"/>
    <mergeCell ref="F6:H6"/>
    <mergeCell ref="I6:L6"/>
    <mergeCell ref="M6:O6"/>
  </mergeCells>
  <hyperlinks>
    <hyperlink ref="B10:D10" location="'3 Statement Model'!A1" display="1. 3 STATEMENT MODEL" xr:uid="{75783D30-6364-4D06-8F3C-AF81CC814BC5}"/>
    <hyperlink ref="B12:D12" location="DCF!A1" display="2. DCF VALUATION &amp; SENSITIVITY ANALYSIS" xr:uid="{9E7B286C-846A-4219-AC57-B619E3076A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22D5-F780-4436-9528-2CD4668C0C32}">
  <dimension ref="A1:M160"/>
  <sheetViews>
    <sheetView showGridLines="0" workbookViewId="0"/>
  </sheetViews>
  <sheetFormatPr defaultRowHeight="14" x14ac:dyDescent="0.3"/>
  <cols>
    <col min="1" max="1" width="2.6328125" style="1" customWidth="1"/>
    <col min="2" max="2" width="45.6328125" style="1" customWidth="1"/>
    <col min="3" max="12" width="11.81640625" style="1" customWidth="1"/>
    <col min="13" max="13" width="10.81640625" style="1" customWidth="1"/>
    <col min="14" max="16384" width="8.7265625" style="1"/>
  </cols>
  <sheetData>
    <row r="1" spans="2:13" x14ac:dyDescent="0.3">
      <c r="B1" s="24"/>
      <c r="C1" s="25" t="s">
        <v>0</v>
      </c>
      <c r="D1" s="26"/>
      <c r="E1" s="26"/>
      <c r="F1" s="26"/>
      <c r="G1" s="27"/>
      <c r="H1" s="28" t="s">
        <v>86</v>
      </c>
      <c r="I1" s="13"/>
      <c r="J1" s="13"/>
      <c r="K1" s="13"/>
      <c r="L1" s="29"/>
      <c r="M1" s="30"/>
    </row>
    <row r="2" spans="2:13" x14ac:dyDescent="0.3">
      <c r="B2" s="31" t="s">
        <v>1</v>
      </c>
      <c r="C2" s="32">
        <v>2021</v>
      </c>
      <c r="D2" s="32">
        <v>2022</v>
      </c>
      <c r="E2" s="32">
        <v>2023</v>
      </c>
      <c r="F2" s="32">
        <v>2024</v>
      </c>
      <c r="G2" s="32">
        <v>2025</v>
      </c>
      <c r="H2" s="33">
        <v>2026</v>
      </c>
      <c r="I2" s="32">
        <v>2027</v>
      </c>
      <c r="J2" s="32">
        <v>2028</v>
      </c>
      <c r="K2" s="32">
        <v>2029</v>
      </c>
      <c r="L2" s="34">
        <v>2030</v>
      </c>
      <c r="M2" s="30"/>
    </row>
    <row r="3" spans="2:13" x14ac:dyDescent="0.3">
      <c r="B3" s="35" t="s">
        <v>72</v>
      </c>
      <c r="C3" s="36"/>
      <c r="D3" s="36"/>
      <c r="E3" s="36"/>
      <c r="F3" s="36"/>
      <c r="G3" s="36"/>
      <c r="H3" s="36"/>
      <c r="I3" s="36"/>
      <c r="J3" s="36"/>
      <c r="K3" s="36"/>
      <c r="L3" s="37"/>
    </row>
    <row r="4" spans="2:13" x14ac:dyDescent="0.3">
      <c r="B4" s="38" t="s">
        <v>61</v>
      </c>
      <c r="C4" s="39"/>
      <c r="D4" s="40"/>
      <c r="E4" s="40"/>
      <c r="F4" s="40"/>
      <c r="G4" s="40"/>
      <c r="H4" s="39"/>
      <c r="I4" s="40"/>
      <c r="J4" s="40"/>
      <c r="K4" s="40"/>
      <c r="L4" s="41"/>
    </row>
    <row r="5" spans="2:13" x14ac:dyDescent="0.3">
      <c r="B5" s="70" t="s">
        <v>62</v>
      </c>
      <c r="C5" s="71">
        <v>13957</v>
      </c>
      <c r="D5" s="71">
        <v>16570</v>
      </c>
      <c r="E5" s="71">
        <v>21223</v>
      </c>
      <c r="F5" s="71">
        <v>21882</v>
      </c>
      <c r="G5" s="72">
        <v>22958</v>
      </c>
      <c r="H5" s="73">
        <f>G5*(1+H6)</f>
        <v>24105.9</v>
      </c>
      <c r="I5" s="73">
        <f t="shared" ref="I5:L5" si="0">H5*(1+I6)</f>
        <v>25431.7245</v>
      </c>
      <c r="J5" s="73">
        <f t="shared" si="0"/>
        <v>26957.627970000001</v>
      </c>
      <c r="K5" s="73">
        <f t="shared" si="0"/>
        <v>28575.085648200002</v>
      </c>
      <c r="L5" s="74">
        <f t="shared" si="0"/>
        <v>30289.590787092002</v>
      </c>
    </row>
    <row r="6" spans="2:13" x14ac:dyDescent="0.3">
      <c r="B6" s="70"/>
      <c r="C6" s="75"/>
      <c r="D6" s="75">
        <f>(D5-C5)/C5</f>
        <v>0.18721788349931934</v>
      </c>
      <c r="E6" s="75">
        <f t="shared" ref="E6:G6" si="1">(E5-D5)/D5</f>
        <v>0.2808086904043452</v>
      </c>
      <c r="F6" s="75">
        <f t="shared" si="1"/>
        <v>3.1051218018187814E-2</v>
      </c>
      <c r="G6" s="76">
        <f t="shared" si="1"/>
        <v>4.9172836121012704E-2</v>
      </c>
      <c r="H6" s="77">
        <v>0.05</v>
      </c>
      <c r="I6" s="78">
        <v>5.5E-2</v>
      </c>
      <c r="J6" s="78">
        <v>0.06</v>
      </c>
      <c r="K6" s="78">
        <v>0.06</v>
      </c>
      <c r="L6" s="79">
        <v>0.06</v>
      </c>
      <c r="M6" s="47"/>
    </row>
    <row r="7" spans="2:13" x14ac:dyDescent="0.3">
      <c r="B7" s="70" t="s">
        <v>63</v>
      </c>
      <c r="C7" s="71">
        <v>18038</v>
      </c>
      <c r="D7" s="71">
        <v>19567</v>
      </c>
      <c r="E7" s="71">
        <v>22022</v>
      </c>
      <c r="F7" s="71">
        <v>22448</v>
      </c>
      <c r="G7" s="72">
        <v>22689</v>
      </c>
      <c r="H7" s="73">
        <f>G7*(1+H8)</f>
        <v>23823.45</v>
      </c>
      <c r="I7" s="73">
        <f t="shared" ref="I7:L7" si="2">H7*(1+I8)</f>
        <v>25014.622500000001</v>
      </c>
      <c r="J7" s="73">
        <f t="shared" si="2"/>
        <v>26265.353625000003</v>
      </c>
      <c r="K7" s="73">
        <f t="shared" si="2"/>
        <v>27578.621306250006</v>
      </c>
      <c r="L7" s="74">
        <f t="shared" si="2"/>
        <v>28957.55237156251</v>
      </c>
    </row>
    <row r="8" spans="2:13" x14ac:dyDescent="0.3">
      <c r="B8" s="70"/>
      <c r="C8" s="75"/>
      <c r="D8" s="75">
        <f>(D7-C7)/C7</f>
        <v>8.4765495065971835E-2</v>
      </c>
      <c r="E8" s="75">
        <f t="shared" ref="E8:G8" si="3">(E7-D7)/D7</f>
        <v>0.12546634639955026</v>
      </c>
      <c r="F8" s="75">
        <f t="shared" si="3"/>
        <v>1.9344292071564798E-2</v>
      </c>
      <c r="G8" s="76">
        <f t="shared" si="3"/>
        <v>1.0735923022095509E-2</v>
      </c>
      <c r="H8" s="77">
        <v>0.05</v>
      </c>
      <c r="I8" s="78">
        <v>0.05</v>
      </c>
      <c r="J8" s="78">
        <v>0.05</v>
      </c>
      <c r="K8" s="78">
        <v>0.05</v>
      </c>
      <c r="L8" s="79">
        <v>0.05</v>
      </c>
      <c r="M8" s="47"/>
    </row>
    <row r="9" spans="2:13" x14ac:dyDescent="0.3">
      <c r="B9" s="70" t="s">
        <v>64</v>
      </c>
      <c r="C9" s="71">
        <v>13204</v>
      </c>
      <c r="D9" s="71">
        <v>14105</v>
      </c>
      <c r="E9" s="71">
        <v>14876</v>
      </c>
      <c r="F9" s="71">
        <v>15291</v>
      </c>
      <c r="G9" s="72">
        <v>15294</v>
      </c>
      <c r="H9" s="73">
        <f>G9*(1+H10)</f>
        <v>15752.82</v>
      </c>
      <c r="I9" s="73">
        <f t="shared" ref="I9:L9" si="4">H9*(1+I10)</f>
        <v>16304.168699999998</v>
      </c>
      <c r="J9" s="73">
        <f t="shared" si="4"/>
        <v>16956.335447999998</v>
      </c>
      <c r="K9" s="73">
        <f t="shared" si="4"/>
        <v>17634.588865919999</v>
      </c>
      <c r="L9" s="74">
        <f t="shared" si="4"/>
        <v>18339.972420556798</v>
      </c>
    </row>
    <row r="10" spans="2:13" x14ac:dyDescent="0.3">
      <c r="B10" s="70"/>
      <c r="C10" s="75"/>
      <c r="D10" s="75">
        <f>(D9-C9)/C9</f>
        <v>6.8236897909724328E-2</v>
      </c>
      <c r="E10" s="75">
        <f t="shared" ref="E10:G10" si="5">(E9-D9)/D9</f>
        <v>5.4661467564693374E-2</v>
      </c>
      <c r="F10" s="75">
        <f t="shared" si="5"/>
        <v>2.7897284216187146E-2</v>
      </c>
      <c r="G10" s="76">
        <f t="shared" si="5"/>
        <v>1.9619383951343929E-4</v>
      </c>
      <c r="H10" s="77">
        <v>0.03</v>
      </c>
      <c r="I10" s="78">
        <v>3.5000000000000003E-2</v>
      </c>
      <c r="J10" s="78">
        <v>0.04</v>
      </c>
      <c r="K10" s="78">
        <v>0.04</v>
      </c>
      <c r="L10" s="79">
        <v>0.04</v>
      </c>
      <c r="M10" s="47"/>
    </row>
    <row r="11" spans="2:13" x14ac:dyDescent="0.3">
      <c r="B11" s="70" t="s">
        <v>65</v>
      </c>
      <c r="C11" s="80">
        <v>1829</v>
      </c>
      <c r="D11" s="80">
        <v>2204</v>
      </c>
      <c r="E11" s="80">
        <v>2459</v>
      </c>
      <c r="F11" s="80">
        <v>2275</v>
      </c>
      <c r="G11" s="81">
        <v>2180</v>
      </c>
      <c r="H11" s="73">
        <f>G11*(1+H12)</f>
        <v>2180</v>
      </c>
      <c r="I11" s="73">
        <f t="shared" ref="I11:L11" si="6">H11*(1+I12)</f>
        <v>2180</v>
      </c>
      <c r="J11" s="73">
        <f t="shared" si="6"/>
        <v>2180</v>
      </c>
      <c r="K11" s="73">
        <f t="shared" si="6"/>
        <v>2180</v>
      </c>
      <c r="L11" s="74">
        <f t="shared" si="6"/>
        <v>2180</v>
      </c>
    </row>
    <row r="12" spans="2:13" x14ac:dyDescent="0.3">
      <c r="B12" s="70"/>
      <c r="C12" s="75"/>
      <c r="D12" s="75">
        <f>(D11-C11)/C11</f>
        <v>0.20503007107709131</v>
      </c>
      <c r="E12" s="75">
        <f t="shared" ref="E12:G12" si="7">(E11-D11)/D11</f>
        <v>0.11569872958257713</v>
      </c>
      <c r="F12" s="75">
        <f t="shared" si="7"/>
        <v>-7.4827165514436758E-2</v>
      </c>
      <c r="G12" s="76">
        <f t="shared" si="7"/>
        <v>-4.1758241758241756E-2</v>
      </c>
      <c r="H12" s="77">
        <v>0</v>
      </c>
      <c r="I12" s="78">
        <v>0</v>
      </c>
      <c r="J12" s="78">
        <v>0</v>
      </c>
      <c r="K12" s="78">
        <v>0</v>
      </c>
      <c r="L12" s="79">
        <v>0</v>
      </c>
      <c r="M12" s="47"/>
    </row>
    <row r="13" spans="2:13" x14ac:dyDescent="0.3">
      <c r="B13" s="82" t="s">
        <v>66</v>
      </c>
      <c r="C13" s="83">
        <f>SUM(C11+C9+C7+C5)</f>
        <v>47028</v>
      </c>
      <c r="D13" s="83">
        <f t="shared" ref="D13:L13" si="8">SUM(D11+D9+D7+D5)</f>
        <v>52446</v>
      </c>
      <c r="E13" s="83">
        <f t="shared" si="8"/>
        <v>60580</v>
      </c>
      <c r="F13" s="83">
        <f t="shared" si="8"/>
        <v>61896</v>
      </c>
      <c r="G13" s="84">
        <f t="shared" si="8"/>
        <v>63121</v>
      </c>
      <c r="H13" s="83">
        <f t="shared" si="8"/>
        <v>65862.170000000013</v>
      </c>
      <c r="I13" s="83">
        <f t="shared" si="8"/>
        <v>68930.515700000004</v>
      </c>
      <c r="J13" s="83">
        <f t="shared" si="8"/>
        <v>72359.317043000003</v>
      </c>
      <c r="K13" s="83">
        <f t="shared" si="8"/>
        <v>75968.295820369996</v>
      </c>
      <c r="L13" s="84">
        <f t="shared" si="8"/>
        <v>79767.115579211313</v>
      </c>
      <c r="M13" s="48"/>
    </row>
    <row r="14" spans="2:13" x14ac:dyDescent="0.3">
      <c r="B14" s="70"/>
      <c r="C14" s="75"/>
      <c r="D14" s="75">
        <f>(D13-C13)/C13</f>
        <v>0.11520796121459556</v>
      </c>
      <c r="E14" s="75">
        <f t="shared" ref="E14:L14" si="9">(E13-D13)/D13</f>
        <v>0.15509285741524617</v>
      </c>
      <c r="F14" s="75">
        <f t="shared" si="9"/>
        <v>2.1723341036645756E-2</v>
      </c>
      <c r="G14" s="76">
        <f t="shared" si="9"/>
        <v>1.9791262763344964E-2</v>
      </c>
      <c r="H14" s="75">
        <f t="shared" si="9"/>
        <v>4.3427227071814657E-2</v>
      </c>
      <c r="I14" s="75">
        <f t="shared" si="9"/>
        <v>4.6587376334548194E-2</v>
      </c>
      <c r="J14" s="75">
        <f t="shared" si="9"/>
        <v>4.9742865089285833E-2</v>
      </c>
      <c r="K14" s="75">
        <f t="shared" si="9"/>
        <v>4.9875799342126659E-2</v>
      </c>
      <c r="L14" s="76">
        <f t="shared" si="9"/>
        <v>5.0005330747760549E-2</v>
      </c>
      <c r="M14" s="47"/>
    </row>
    <row r="15" spans="2:13" x14ac:dyDescent="0.3">
      <c r="B15" s="42"/>
      <c r="C15" s="45"/>
      <c r="D15" s="45"/>
      <c r="E15" s="45"/>
      <c r="F15" s="45"/>
      <c r="G15" s="46"/>
      <c r="H15" s="49"/>
      <c r="I15" s="45"/>
      <c r="J15" s="45"/>
      <c r="K15" s="45"/>
      <c r="L15" s="46"/>
      <c r="M15" s="47"/>
    </row>
    <row r="16" spans="2:13" x14ac:dyDescent="0.3">
      <c r="B16" s="50" t="s">
        <v>67</v>
      </c>
      <c r="C16" s="51"/>
      <c r="D16" s="51"/>
      <c r="E16" s="51"/>
      <c r="F16" s="51"/>
      <c r="G16" s="51"/>
      <c r="H16" s="51"/>
      <c r="I16" s="51"/>
      <c r="J16" s="51"/>
      <c r="K16" s="51"/>
      <c r="L16" s="52"/>
      <c r="M16" s="47"/>
    </row>
    <row r="17" spans="2:13" x14ac:dyDescent="0.3">
      <c r="B17" s="70" t="s">
        <v>62</v>
      </c>
      <c r="C17" s="75">
        <f>C5/C13</f>
        <v>0.29678064132006465</v>
      </c>
      <c r="D17" s="75">
        <f t="shared" ref="D17:G17" si="10">D5/D13</f>
        <v>0.31594401860961752</v>
      </c>
      <c r="E17" s="75">
        <f t="shared" si="10"/>
        <v>0.35033014196104323</v>
      </c>
      <c r="F17" s="75">
        <f t="shared" si="10"/>
        <v>0.35352849941837922</v>
      </c>
      <c r="G17" s="76">
        <f t="shared" si="10"/>
        <v>0.36371413634131272</v>
      </c>
      <c r="H17" s="49"/>
      <c r="I17" s="45"/>
      <c r="J17" s="45"/>
      <c r="K17" s="45"/>
      <c r="L17" s="46"/>
      <c r="M17" s="47"/>
    </row>
    <row r="18" spans="2:13" x14ac:dyDescent="0.3">
      <c r="B18" s="70" t="s">
        <v>63</v>
      </c>
      <c r="C18" s="75">
        <f>C7/C13</f>
        <v>0.38355873096878457</v>
      </c>
      <c r="D18" s="75">
        <f t="shared" ref="D18:G18" si="11">D7/D13</f>
        <v>0.37308851008656524</v>
      </c>
      <c r="E18" s="75">
        <f t="shared" si="11"/>
        <v>0.36351931330472104</v>
      </c>
      <c r="F18" s="75">
        <f t="shared" si="11"/>
        <v>0.36267287062168801</v>
      </c>
      <c r="G18" s="76">
        <f t="shared" si="11"/>
        <v>0.35945248015715847</v>
      </c>
      <c r="H18" s="49"/>
      <c r="I18" s="45"/>
      <c r="J18" s="45"/>
      <c r="K18" s="45"/>
      <c r="L18" s="46"/>
      <c r="M18" s="47"/>
    </row>
    <row r="19" spans="2:13" x14ac:dyDescent="0.3">
      <c r="B19" s="70" t="s">
        <v>64</v>
      </c>
      <c r="C19" s="75">
        <f>C9/C13</f>
        <v>0.2807689036318789</v>
      </c>
      <c r="D19" s="75">
        <f t="shared" ref="D19:G19" si="12">D9/D13</f>
        <v>0.26894329405483736</v>
      </c>
      <c r="E19" s="75">
        <f t="shared" si="12"/>
        <v>0.24555959062396832</v>
      </c>
      <c r="F19" s="75">
        <f t="shared" si="12"/>
        <v>0.24704342768514928</v>
      </c>
      <c r="G19" s="76">
        <f t="shared" si="12"/>
        <v>0.24229654156302974</v>
      </c>
      <c r="H19" s="49"/>
      <c r="I19" s="45"/>
      <c r="J19" s="45"/>
      <c r="K19" s="45"/>
      <c r="L19" s="46"/>
      <c r="M19" s="47"/>
    </row>
    <row r="20" spans="2:13" x14ac:dyDescent="0.3">
      <c r="B20" s="70" t="s">
        <v>65</v>
      </c>
      <c r="C20" s="75">
        <f>C11/C13</f>
        <v>3.8891724079271925E-2</v>
      </c>
      <c r="D20" s="75">
        <f t="shared" ref="D20:G20" si="13">D11/D13</f>
        <v>4.2024177248979902E-2</v>
      </c>
      <c r="E20" s="75">
        <f t="shared" si="13"/>
        <v>4.0590954110267412E-2</v>
      </c>
      <c r="F20" s="75">
        <f t="shared" si="13"/>
        <v>3.6755202274783509E-2</v>
      </c>
      <c r="G20" s="76">
        <f t="shared" si="13"/>
        <v>3.4536841938499076E-2</v>
      </c>
      <c r="H20" s="49"/>
      <c r="I20" s="45"/>
      <c r="J20" s="45"/>
      <c r="K20" s="45"/>
      <c r="L20" s="46"/>
      <c r="M20" s="47"/>
    </row>
    <row r="21" spans="2:13" x14ac:dyDescent="0.3">
      <c r="B21" s="42"/>
      <c r="C21" s="45"/>
      <c r="D21" s="45"/>
      <c r="E21" s="45"/>
      <c r="F21" s="45"/>
      <c r="G21" s="46"/>
      <c r="H21" s="49"/>
      <c r="I21" s="45"/>
      <c r="J21" s="45"/>
      <c r="K21" s="45"/>
      <c r="L21" s="46"/>
      <c r="M21" s="47"/>
    </row>
    <row r="22" spans="2:13" x14ac:dyDescent="0.3">
      <c r="B22" s="50" t="s">
        <v>115</v>
      </c>
      <c r="C22" s="51"/>
      <c r="D22" s="51"/>
      <c r="E22" s="51"/>
      <c r="F22" s="51"/>
      <c r="G22" s="51"/>
      <c r="H22" s="51"/>
      <c r="I22" s="51"/>
      <c r="J22" s="51"/>
      <c r="K22" s="51"/>
      <c r="L22" s="52"/>
      <c r="M22" s="47"/>
    </row>
    <row r="23" spans="2:13" x14ac:dyDescent="0.3">
      <c r="B23" s="70" t="s">
        <v>116</v>
      </c>
      <c r="C23" s="75"/>
      <c r="D23" s="75">
        <f>(D86-C86)/C86</f>
        <v>-0.37073170731707317</v>
      </c>
      <c r="E23" s="75">
        <f>(E86-D86)/D86</f>
        <v>0.98449612403100772</v>
      </c>
      <c r="F23" s="75">
        <f>(F86-E86)/E86</f>
        <v>0.583984375</v>
      </c>
      <c r="G23" s="76">
        <f>(G86-F86)/F86</f>
        <v>0.25400739827373614</v>
      </c>
      <c r="H23" s="77">
        <v>0.06</v>
      </c>
      <c r="I23" s="77">
        <v>0.06</v>
      </c>
      <c r="J23" s="77">
        <v>0.06</v>
      </c>
      <c r="K23" s="77">
        <v>0.06</v>
      </c>
      <c r="L23" s="79">
        <v>0.06</v>
      </c>
      <c r="M23" s="47"/>
    </row>
    <row r="24" spans="2:13" x14ac:dyDescent="0.3">
      <c r="B24" s="42"/>
      <c r="C24" s="45"/>
      <c r="D24" s="45"/>
      <c r="E24" s="45"/>
      <c r="F24" s="45"/>
      <c r="G24" s="46"/>
      <c r="H24" s="49"/>
      <c r="I24" s="45"/>
      <c r="J24" s="45"/>
      <c r="K24" s="45"/>
      <c r="L24" s="46"/>
      <c r="M24" s="47"/>
    </row>
    <row r="25" spans="2:13" x14ac:dyDescent="0.3">
      <c r="B25" s="38" t="s">
        <v>73</v>
      </c>
      <c r="C25" s="40"/>
      <c r="D25" s="40"/>
      <c r="E25" s="40"/>
      <c r="F25" s="40"/>
      <c r="G25" s="40"/>
      <c r="H25" s="40"/>
      <c r="I25" s="40"/>
      <c r="J25" s="40"/>
      <c r="K25" s="40"/>
      <c r="L25" s="41"/>
    </row>
    <row r="26" spans="2:13" x14ac:dyDescent="0.3">
      <c r="B26" s="70" t="s">
        <v>71</v>
      </c>
      <c r="C26" s="75">
        <f>C76/C75</f>
        <v>0.47095347452581443</v>
      </c>
      <c r="D26" s="75">
        <f>D76/D75</f>
        <v>0.49069519124432748</v>
      </c>
      <c r="E26" s="75">
        <f>E76/E75</f>
        <v>0.5235391218223836</v>
      </c>
      <c r="F26" s="75">
        <f>F76/F75</f>
        <v>0.48080651415277237</v>
      </c>
      <c r="G26" s="76">
        <f>G76/G75</f>
        <v>0.48443465724560764</v>
      </c>
      <c r="H26" s="77">
        <v>0.49</v>
      </c>
      <c r="I26" s="78">
        <v>0.49</v>
      </c>
      <c r="J26" s="78">
        <v>0.49</v>
      </c>
      <c r="K26" s="78">
        <v>0.49</v>
      </c>
      <c r="L26" s="79">
        <v>0.49</v>
      </c>
      <c r="M26" s="47"/>
    </row>
    <row r="27" spans="2:13" x14ac:dyDescent="0.3">
      <c r="B27" s="42"/>
      <c r="C27" s="53"/>
      <c r="D27" s="53"/>
      <c r="E27" s="53"/>
      <c r="F27" s="53"/>
      <c r="G27" s="54"/>
      <c r="H27" s="53"/>
      <c r="I27" s="53"/>
      <c r="J27" s="53"/>
      <c r="K27" s="53"/>
      <c r="L27" s="54"/>
    </row>
    <row r="28" spans="2:13" x14ac:dyDescent="0.3">
      <c r="B28" s="38" t="s">
        <v>74</v>
      </c>
      <c r="C28" s="40"/>
      <c r="D28" s="40"/>
      <c r="E28" s="40"/>
      <c r="F28" s="40"/>
      <c r="G28" s="40"/>
      <c r="H28" s="40"/>
      <c r="I28" s="40"/>
      <c r="J28" s="40"/>
      <c r="K28" s="40"/>
      <c r="L28" s="41"/>
    </row>
    <row r="29" spans="2:13" x14ac:dyDescent="0.3">
      <c r="B29" s="70" t="s">
        <v>75</v>
      </c>
      <c r="C29" s="75">
        <f>C83/C75</f>
        <v>0.24721442544866887</v>
      </c>
      <c r="D29" s="75">
        <f>D83/D75</f>
        <v>0.24514738969606834</v>
      </c>
      <c r="E29" s="75">
        <f>E83/E75</f>
        <v>0.23355893034004621</v>
      </c>
      <c r="F29" s="75">
        <f>F83/F75</f>
        <v>0.23689737624402224</v>
      </c>
      <c r="G29" s="76">
        <f>G83/G75</f>
        <v>0.23527827505901364</v>
      </c>
      <c r="H29" s="77">
        <v>0.23499999999999999</v>
      </c>
      <c r="I29" s="78">
        <v>0.23499999999999999</v>
      </c>
      <c r="J29" s="78">
        <v>0.23499999999999999</v>
      </c>
      <c r="K29" s="78">
        <v>0.23499999999999999</v>
      </c>
      <c r="L29" s="79">
        <v>0.23499999999999999</v>
      </c>
      <c r="M29" s="47"/>
    </row>
    <row r="30" spans="2:13" x14ac:dyDescent="0.3">
      <c r="B30" s="42"/>
      <c r="C30" s="53"/>
      <c r="D30" s="53"/>
      <c r="E30" s="53"/>
      <c r="F30" s="53"/>
      <c r="G30" s="54"/>
      <c r="H30" s="53"/>
      <c r="I30" s="53"/>
      <c r="J30" s="53"/>
      <c r="K30" s="53"/>
      <c r="L30" s="54"/>
    </row>
    <row r="31" spans="2:13" x14ac:dyDescent="0.3">
      <c r="B31" s="38" t="s">
        <v>76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2:13" x14ac:dyDescent="0.3">
      <c r="B32" s="70" t="s">
        <v>77</v>
      </c>
      <c r="C32" s="73">
        <f>(C102/C75)*365</f>
        <v>13.644424598111764</v>
      </c>
      <c r="D32" s="73">
        <f>(D102/D75)*365</f>
        <v>15.561529954619989</v>
      </c>
      <c r="E32" s="73">
        <f>(E102/E75)*365</f>
        <v>18.551254539451964</v>
      </c>
      <c r="F32" s="73">
        <f>(F102/F75)*365</f>
        <v>17.673274525009692</v>
      </c>
      <c r="G32" s="74">
        <f>(G102/G75)*365</f>
        <v>22.08353796676225</v>
      </c>
      <c r="H32" s="85">
        <v>20</v>
      </c>
      <c r="I32" s="85">
        <v>20</v>
      </c>
      <c r="J32" s="85">
        <v>20</v>
      </c>
      <c r="K32" s="85">
        <v>20</v>
      </c>
      <c r="L32" s="86">
        <v>20</v>
      </c>
      <c r="M32" s="55"/>
    </row>
    <row r="33" spans="2:13" x14ac:dyDescent="0.3">
      <c r="B33" s="70" t="s">
        <v>68</v>
      </c>
      <c r="C33" s="73">
        <f>(C101/C76)*365</f>
        <v>58.982075130937332</v>
      </c>
      <c r="D33" s="73">
        <f>(D101/D76)*365</f>
        <v>58.093646784534677</v>
      </c>
      <c r="E33" s="73">
        <f>(E101/E76)*365</f>
        <v>48.922152856602345</v>
      </c>
      <c r="F33" s="73">
        <f>(F101/F76)*365</f>
        <v>49.328965053763447</v>
      </c>
      <c r="G33" s="74">
        <f>(G101/G76)*365</f>
        <v>52.700470926810127</v>
      </c>
      <c r="H33" s="85">
        <v>50</v>
      </c>
      <c r="I33" s="85">
        <v>50</v>
      </c>
      <c r="J33" s="85">
        <v>50</v>
      </c>
      <c r="K33" s="85">
        <v>50</v>
      </c>
      <c r="L33" s="86">
        <v>50</v>
      </c>
      <c r="M33" s="55"/>
    </row>
    <row r="34" spans="2:13" x14ac:dyDescent="0.3">
      <c r="B34" s="70" t="s">
        <v>78</v>
      </c>
      <c r="C34" s="73">
        <f>(C124/C76)*365</f>
        <v>145.05734152067905</v>
      </c>
      <c r="D34" s="73">
        <f>(D124/D76)*365</f>
        <v>128.61161841849619</v>
      </c>
      <c r="E34" s="73">
        <f>(E124/E76)*365</f>
        <v>110.18129650649514</v>
      </c>
      <c r="F34" s="73">
        <f>(F124/F76)*365</f>
        <v>128.60853494623657</v>
      </c>
      <c r="G34" s="74">
        <f>(G124/G76)*365</f>
        <v>135.06360782261757</v>
      </c>
      <c r="H34" s="85">
        <v>130</v>
      </c>
      <c r="I34" s="85">
        <v>130</v>
      </c>
      <c r="J34" s="85">
        <v>130</v>
      </c>
      <c r="K34" s="85">
        <v>130</v>
      </c>
      <c r="L34" s="86">
        <v>130</v>
      </c>
      <c r="M34" s="55"/>
    </row>
    <row r="35" spans="2:13" x14ac:dyDescent="0.3">
      <c r="B35" s="42"/>
      <c r="C35" s="53"/>
      <c r="D35" s="53"/>
      <c r="E35" s="53"/>
      <c r="F35" s="53"/>
      <c r="G35" s="54"/>
      <c r="H35" s="53"/>
      <c r="I35" s="53"/>
      <c r="J35" s="53"/>
      <c r="K35" s="53"/>
      <c r="L35" s="54"/>
    </row>
    <row r="36" spans="2:13" x14ac:dyDescent="0.3">
      <c r="B36" s="38" t="s">
        <v>158</v>
      </c>
      <c r="C36" s="40"/>
      <c r="D36" s="40"/>
      <c r="E36" s="40"/>
      <c r="F36" s="40"/>
      <c r="G36" s="40"/>
      <c r="H36" s="40"/>
      <c r="I36" s="40"/>
      <c r="J36" s="40"/>
      <c r="K36" s="40"/>
      <c r="L36" s="41"/>
    </row>
    <row r="37" spans="2:13" x14ac:dyDescent="0.3">
      <c r="B37" s="70" t="s">
        <v>159</v>
      </c>
      <c r="C37" s="87"/>
      <c r="D37" s="75">
        <f>(D118-C118)/C118</f>
        <v>6.91333982473223E-2</v>
      </c>
      <c r="E37" s="75">
        <f t="shared" ref="E37:G37" si="14">(E118-D118)/D118</f>
        <v>0.51821493624772308</v>
      </c>
      <c r="F37" s="75">
        <f t="shared" si="14"/>
        <v>9.2381523695260953E-2</v>
      </c>
      <c r="G37" s="76">
        <f t="shared" si="14"/>
        <v>5.6013179571663921E-2</v>
      </c>
      <c r="H37" s="88">
        <v>7.4999999999999997E-2</v>
      </c>
      <c r="I37" s="88">
        <v>0.08</v>
      </c>
      <c r="J37" s="88">
        <v>8.5000000000000006E-2</v>
      </c>
      <c r="K37" s="88">
        <v>0.09</v>
      </c>
      <c r="L37" s="89">
        <v>9.5000000000000001E-2</v>
      </c>
    </row>
    <row r="38" spans="2:13" x14ac:dyDescent="0.3">
      <c r="B38" s="42"/>
      <c r="C38" s="53"/>
      <c r="D38" s="45"/>
      <c r="E38" s="45"/>
      <c r="F38" s="45"/>
      <c r="G38" s="46"/>
      <c r="H38" s="56"/>
      <c r="I38" s="56"/>
      <c r="J38" s="56"/>
      <c r="K38" s="56"/>
      <c r="L38" s="57"/>
    </row>
    <row r="39" spans="2:13" ht="28" x14ac:dyDescent="0.3">
      <c r="B39" s="38" t="s">
        <v>111</v>
      </c>
      <c r="C39" s="40"/>
      <c r="D39" s="58"/>
      <c r="E39" s="58"/>
      <c r="F39" s="58"/>
      <c r="G39" s="58"/>
      <c r="H39" s="59"/>
      <c r="I39" s="59"/>
      <c r="J39" s="59"/>
      <c r="K39" s="59"/>
      <c r="L39" s="60"/>
    </row>
    <row r="40" spans="2:13" x14ac:dyDescent="0.3">
      <c r="B40" s="70" t="s">
        <v>112</v>
      </c>
      <c r="C40" s="87"/>
      <c r="D40" s="75">
        <f>(D120-C120)/C120</f>
        <v>1.332139258927572E-2</v>
      </c>
      <c r="E40" s="75">
        <f t="shared" ref="E40:G40" si="15">(E120-D120)/D120</f>
        <v>-2.0106053910737959E-2</v>
      </c>
      <c r="F40" s="75">
        <f t="shared" si="15"/>
        <v>0.39526493799323564</v>
      </c>
      <c r="G40" s="76">
        <f t="shared" si="15"/>
        <v>-4.5652876535229474E-2</v>
      </c>
      <c r="H40" s="88">
        <v>0</v>
      </c>
      <c r="I40" s="88">
        <v>0</v>
      </c>
      <c r="J40" s="88">
        <v>0</v>
      </c>
      <c r="K40" s="88">
        <v>0</v>
      </c>
      <c r="L40" s="89">
        <v>0</v>
      </c>
    </row>
    <row r="41" spans="2:13" x14ac:dyDescent="0.3">
      <c r="B41" s="42"/>
      <c r="C41" s="53"/>
      <c r="D41" s="53"/>
      <c r="E41" s="53"/>
      <c r="F41" s="53"/>
      <c r="G41" s="54"/>
      <c r="H41" s="53"/>
      <c r="I41" s="53"/>
      <c r="J41" s="53"/>
      <c r="K41" s="53"/>
      <c r="L41" s="54"/>
    </row>
    <row r="42" spans="2:13" x14ac:dyDescent="0.3">
      <c r="B42" s="38" t="s">
        <v>79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</row>
    <row r="43" spans="2:13" x14ac:dyDescent="0.3">
      <c r="B43" s="70" t="s">
        <v>69</v>
      </c>
      <c r="C43" s="75">
        <f>-(C148/C75)</f>
        <v>1.5756570553712681E-2</v>
      </c>
      <c r="D43" s="75">
        <f>-(D148/D75)</f>
        <v>2.3357358044464784E-2</v>
      </c>
      <c r="E43" s="75">
        <f>-(E148/E75)</f>
        <v>1.9379333113238691E-2</v>
      </c>
      <c r="F43" s="75">
        <f>-(F148/F75)</f>
        <v>2.3717203050277885E-2</v>
      </c>
      <c r="G43" s="76">
        <f>-(G148/G75)</f>
        <v>1.986660540865956E-2</v>
      </c>
      <c r="H43" s="77">
        <v>0.03</v>
      </c>
      <c r="I43" s="78">
        <v>0.03</v>
      </c>
      <c r="J43" s="78">
        <v>0.03</v>
      </c>
      <c r="K43" s="78">
        <v>0.03</v>
      </c>
      <c r="L43" s="79">
        <v>0.03</v>
      </c>
      <c r="M43" s="47"/>
    </row>
    <row r="44" spans="2:13" x14ac:dyDescent="0.3">
      <c r="B44" s="42"/>
      <c r="C44" s="53"/>
      <c r="D44" s="53"/>
      <c r="E44" s="53"/>
      <c r="F44" s="53"/>
      <c r="G44" s="54"/>
      <c r="H44" s="53"/>
      <c r="I44" s="53"/>
      <c r="J44" s="53"/>
      <c r="K44" s="53"/>
      <c r="L44" s="54"/>
    </row>
    <row r="45" spans="2:13" x14ac:dyDescent="0.3">
      <c r="B45" s="38" t="s">
        <v>80</v>
      </c>
      <c r="C45" s="40"/>
      <c r="D45" s="40"/>
      <c r="E45" s="40"/>
      <c r="F45" s="40"/>
      <c r="G45" s="40"/>
      <c r="H45" s="40"/>
      <c r="I45" s="40"/>
      <c r="J45" s="40"/>
      <c r="K45" s="40"/>
      <c r="L45" s="41"/>
    </row>
    <row r="46" spans="2:13" x14ac:dyDescent="0.3">
      <c r="B46" s="70" t="s">
        <v>81</v>
      </c>
      <c r="C46" s="75"/>
      <c r="D46" s="75"/>
      <c r="E46" s="75"/>
      <c r="F46" s="75"/>
      <c r="G46" s="76"/>
      <c r="H46" s="77">
        <v>0.255</v>
      </c>
      <c r="I46" s="77">
        <v>0.255</v>
      </c>
      <c r="J46" s="77">
        <v>0.255</v>
      </c>
      <c r="K46" s="77">
        <v>0.255</v>
      </c>
      <c r="L46" s="79">
        <v>0.255</v>
      </c>
      <c r="M46" s="47"/>
    </row>
    <row r="47" spans="2:13" x14ac:dyDescent="0.3">
      <c r="B47" s="42"/>
      <c r="C47" s="53"/>
      <c r="D47" s="53"/>
      <c r="E47" s="53"/>
      <c r="F47" s="53"/>
      <c r="G47" s="54"/>
      <c r="H47" s="53"/>
      <c r="I47" s="53"/>
      <c r="J47" s="53"/>
      <c r="K47" s="53"/>
      <c r="L47" s="54"/>
    </row>
    <row r="48" spans="2:13" x14ac:dyDescent="0.3">
      <c r="B48" s="38" t="s">
        <v>82</v>
      </c>
      <c r="C48" s="40"/>
      <c r="D48" s="40"/>
      <c r="E48" s="40"/>
      <c r="F48" s="40"/>
      <c r="G48" s="40"/>
      <c r="H48" s="40"/>
      <c r="I48" s="40"/>
      <c r="J48" s="40"/>
      <c r="K48" s="40"/>
      <c r="L48" s="41"/>
    </row>
    <row r="49" spans="2:13" x14ac:dyDescent="0.3">
      <c r="B49" s="70" t="s">
        <v>70</v>
      </c>
      <c r="C49" s="75">
        <f>C84/C75</f>
        <v>2.2837458535340648E-2</v>
      </c>
      <c r="D49" s="75">
        <f>D84/D75</f>
        <v>2.0802349082866187E-2</v>
      </c>
      <c r="E49" s="75">
        <f>E84/E75</f>
        <v>1.8768570485308684E-2</v>
      </c>
      <c r="F49" s="75">
        <f>F84/F75</f>
        <v>1.9645857567532635E-2</v>
      </c>
      <c r="G49" s="76">
        <f>G84/G75</f>
        <v>2.1466706801223048E-2</v>
      </c>
      <c r="H49" s="77">
        <v>2.3E-2</v>
      </c>
      <c r="I49" s="78">
        <v>2.3E-2</v>
      </c>
      <c r="J49" s="78">
        <v>2.3E-2</v>
      </c>
      <c r="K49" s="78">
        <v>2.3E-2</v>
      </c>
      <c r="L49" s="79">
        <v>2.3E-2</v>
      </c>
      <c r="M49" s="47"/>
    </row>
    <row r="50" spans="2:13" x14ac:dyDescent="0.3">
      <c r="B50" s="42"/>
      <c r="C50" s="53"/>
      <c r="D50" s="53"/>
      <c r="E50" s="53"/>
      <c r="F50" s="53"/>
      <c r="G50" s="54"/>
      <c r="H50" s="53"/>
      <c r="I50" s="53"/>
      <c r="J50" s="53"/>
      <c r="K50" s="53"/>
      <c r="L50" s="54"/>
    </row>
    <row r="51" spans="2:13" x14ac:dyDescent="0.3">
      <c r="B51" s="38" t="s">
        <v>87</v>
      </c>
      <c r="C51" s="40"/>
      <c r="D51" s="40"/>
      <c r="E51" s="40"/>
      <c r="F51" s="40"/>
      <c r="G51" s="40"/>
      <c r="H51" s="40"/>
      <c r="I51" s="40"/>
      <c r="J51" s="40"/>
      <c r="K51" s="40"/>
      <c r="L51" s="41"/>
    </row>
    <row r="52" spans="2:13" x14ac:dyDescent="0.3">
      <c r="B52" s="70" t="s">
        <v>90</v>
      </c>
      <c r="C52" s="75">
        <f>C81/C13</f>
        <v>5.0140341923960191E-2</v>
      </c>
      <c r="D52" s="75">
        <f>D81/D13</f>
        <v>4.8526103039316627E-2</v>
      </c>
      <c r="E52" s="75">
        <f>E81/E13</f>
        <v>4.7111257840871577E-2</v>
      </c>
      <c r="F52" s="75">
        <f>F81/F13</f>
        <v>4.8613803799922452E-2</v>
      </c>
      <c r="G52" s="76">
        <f>G81/G13</f>
        <v>4.8747643415028276E-2</v>
      </c>
      <c r="H52" s="75">
        <f>AVERAGE($C$52:$G$52)</f>
        <v>4.8627830003819823E-2</v>
      </c>
      <c r="I52" s="75">
        <f t="shared" ref="I52:L52" si="16">AVERAGE($C$52:$G$52)</f>
        <v>4.8627830003819823E-2</v>
      </c>
      <c r="J52" s="75">
        <f t="shared" si="16"/>
        <v>4.8627830003819823E-2</v>
      </c>
      <c r="K52" s="75">
        <f t="shared" si="16"/>
        <v>4.8627830003819823E-2</v>
      </c>
      <c r="L52" s="76">
        <f t="shared" si="16"/>
        <v>4.8627830003819823E-2</v>
      </c>
    </row>
    <row r="53" spans="2:13" x14ac:dyDescent="0.3">
      <c r="B53" s="42"/>
      <c r="C53" s="53"/>
      <c r="D53" s="45"/>
      <c r="E53" s="45"/>
      <c r="F53" s="45"/>
      <c r="G53" s="46"/>
      <c r="H53" s="45"/>
      <c r="I53" s="45"/>
      <c r="J53" s="45"/>
      <c r="K53" s="45"/>
      <c r="L53" s="46"/>
    </row>
    <row r="54" spans="2:13" x14ac:dyDescent="0.3">
      <c r="B54" s="38" t="s">
        <v>88</v>
      </c>
      <c r="C54" s="40"/>
      <c r="D54" s="58"/>
      <c r="E54" s="58"/>
      <c r="F54" s="58"/>
      <c r="G54" s="58"/>
      <c r="H54" s="58"/>
      <c r="I54" s="58"/>
      <c r="J54" s="58"/>
      <c r="K54" s="58"/>
      <c r="L54" s="61"/>
    </row>
    <row r="55" spans="2:13" x14ac:dyDescent="0.3">
      <c r="B55" s="70" t="s">
        <v>89</v>
      </c>
      <c r="C55" s="75">
        <f>C82/C13</f>
        <v>0.23169175810155651</v>
      </c>
      <c r="D55" s="75">
        <f>D82/D13</f>
        <v>0.21563131602028754</v>
      </c>
      <c r="E55" s="75">
        <f>E82/E13</f>
        <v>0.19579068999669857</v>
      </c>
      <c r="F55" s="75">
        <f>F82/F13</f>
        <v>0.23368230580328292</v>
      </c>
      <c r="G55" s="76">
        <f>G82/G13</f>
        <v>0.23153942428035043</v>
      </c>
      <c r="H55" s="75">
        <f>AVERAGE($C$55:$G$55)</f>
        <v>0.22166709884043517</v>
      </c>
      <c r="I55" s="75">
        <f t="shared" ref="I55:L55" si="17">AVERAGE($C$55:$G$55)</f>
        <v>0.22166709884043517</v>
      </c>
      <c r="J55" s="75">
        <f t="shared" si="17"/>
        <v>0.22166709884043517</v>
      </c>
      <c r="K55" s="75">
        <f t="shared" si="17"/>
        <v>0.22166709884043517</v>
      </c>
      <c r="L55" s="76">
        <f t="shared" si="17"/>
        <v>0.22166709884043517</v>
      </c>
    </row>
    <row r="56" spans="2:13" x14ac:dyDescent="0.3">
      <c r="B56" s="42"/>
      <c r="C56" s="53"/>
      <c r="D56" s="45"/>
      <c r="E56" s="45"/>
      <c r="F56" s="45"/>
      <c r="G56" s="46"/>
      <c r="H56" s="45"/>
      <c r="I56" s="45"/>
      <c r="J56" s="45"/>
      <c r="K56" s="45"/>
      <c r="L56" s="46"/>
    </row>
    <row r="57" spans="2:13" x14ac:dyDescent="0.3">
      <c r="B57" s="38" t="s">
        <v>113</v>
      </c>
      <c r="C57" s="40"/>
      <c r="D57" s="40"/>
      <c r="E57" s="40"/>
      <c r="F57" s="40"/>
      <c r="G57" s="40"/>
      <c r="H57" s="40"/>
      <c r="I57" s="40"/>
      <c r="J57" s="40"/>
      <c r="K57" s="40"/>
      <c r="L57" s="41"/>
    </row>
    <row r="58" spans="2:13" x14ac:dyDescent="0.3">
      <c r="B58" s="70" t="s">
        <v>114</v>
      </c>
      <c r="C58" s="75"/>
      <c r="D58" s="75"/>
      <c r="E58" s="75"/>
      <c r="F58" s="75"/>
      <c r="G58" s="76"/>
      <c r="H58" s="77">
        <v>0.02</v>
      </c>
      <c r="I58" s="78">
        <v>0.02</v>
      </c>
      <c r="J58" s="78">
        <v>0.02</v>
      </c>
      <c r="K58" s="78">
        <v>0.02</v>
      </c>
      <c r="L58" s="79">
        <v>0.02</v>
      </c>
      <c r="M58" s="47"/>
    </row>
    <row r="59" spans="2:13" x14ac:dyDescent="0.3">
      <c r="B59" s="70"/>
      <c r="C59" s="87"/>
      <c r="D59" s="87"/>
      <c r="E59" s="87"/>
      <c r="F59" s="87"/>
      <c r="G59" s="90"/>
      <c r="H59" s="87"/>
      <c r="I59" s="87"/>
      <c r="J59" s="87"/>
      <c r="K59" s="87"/>
      <c r="L59" s="90"/>
    </row>
    <row r="60" spans="2:13" x14ac:dyDescent="0.3">
      <c r="B60" s="70" t="s">
        <v>93</v>
      </c>
      <c r="C60" s="71">
        <v>5557</v>
      </c>
      <c r="D60" s="73">
        <f>C96</f>
        <v>6861</v>
      </c>
      <c r="E60" s="73">
        <f t="shared" ref="E60:G60" si="18">D96</f>
        <v>7482</v>
      </c>
      <c r="F60" s="73">
        <f t="shared" si="18"/>
        <v>8081</v>
      </c>
      <c r="G60" s="74">
        <f t="shared" si="18"/>
        <v>9056</v>
      </c>
      <c r="H60" s="73">
        <f>G96</f>
        <v>9634</v>
      </c>
      <c r="I60" s="73">
        <f t="shared" ref="I60:L60" si="19">H96</f>
        <v>10095.035190000001</v>
      </c>
      <c r="J60" s="73">
        <f t="shared" si="19"/>
        <v>10577.5487999</v>
      </c>
      <c r="K60" s="73">
        <f t="shared" si="19"/>
        <v>11084.064019201</v>
      </c>
      <c r="L60" s="74">
        <f t="shared" si="19"/>
        <v>11615.84208994359</v>
      </c>
    </row>
    <row r="61" spans="2:13" x14ac:dyDescent="0.3">
      <c r="B61" s="70" t="s">
        <v>94</v>
      </c>
      <c r="C61" s="73">
        <f>-C148</f>
        <v>741</v>
      </c>
      <c r="D61" s="73">
        <f t="shared" ref="D61:L61" si="20">-D148</f>
        <v>1225</v>
      </c>
      <c r="E61" s="73">
        <f t="shared" si="20"/>
        <v>1174</v>
      </c>
      <c r="F61" s="73">
        <f t="shared" si="20"/>
        <v>1468</v>
      </c>
      <c r="G61" s="74">
        <f t="shared" si="20"/>
        <v>1254</v>
      </c>
      <c r="H61" s="73">
        <f t="shared" si="20"/>
        <v>1975.8651000000002</v>
      </c>
      <c r="I61" s="73">
        <f t="shared" si="20"/>
        <v>2067.9154710000003</v>
      </c>
      <c r="J61" s="73">
        <f t="shared" si="20"/>
        <v>2170.7795112899998</v>
      </c>
      <c r="K61" s="73">
        <f t="shared" si="20"/>
        <v>2279.0488746111</v>
      </c>
      <c r="L61" s="74">
        <f t="shared" si="20"/>
        <v>2393.0134673763391</v>
      </c>
    </row>
    <row r="62" spans="2:13" x14ac:dyDescent="0.3">
      <c r="B62" s="70" t="s">
        <v>95</v>
      </c>
      <c r="C62" s="73">
        <f>C84</f>
        <v>1074</v>
      </c>
      <c r="D62" s="73">
        <f t="shared" ref="D62:L62" si="21">D84</f>
        <v>1091</v>
      </c>
      <c r="E62" s="73">
        <f t="shared" si="21"/>
        <v>1137</v>
      </c>
      <c r="F62" s="73">
        <f t="shared" si="21"/>
        <v>1216</v>
      </c>
      <c r="G62" s="74">
        <f t="shared" si="21"/>
        <v>1355</v>
      </c>
      <c r="H62" s="73">
        <f t="shared" si="21"/>
        <v>1514.8299100000004</v>
      </c>
      <c r="I62" s="73">
        <f t="shared" si="21"/>
        <v>1585.4018611000001</v>
      </c>
      <c r="J62" s="73">
        <f t="shared" si="21"/>
        <v>1664.264291989</v>
      </c>
      <c r="K62" s="73">
        <f t="shared" si="21"/>
        <v>1747.2708038685098</v>
      </c>
      <c r="L62" s="74">
        <f t="shared" si="21"/>
        <v>1834.6436583218601</v>
      </c>
    </row>
    <row r="63" spans="2:13" x14ac:dyDescent="0.3">
      <c r="B63" s="70" t="s">
        <v>96</v>
      </c>
      <c r="C63" s="71">
        <v>6681</v>
      </c>
      <c r="D63" s="71">
        <v>7482</v>
      </c>
      <c r="E63" s="71">
        <v>8081</v>
      </c>
      <c r="F63" s="71">
        <v>9056</v>
      </c>
      <c r="G63" s="72">
        <v>9634</v>
      </c>
      <c r="H63" s="73">
        <f t="shared" ref="H63" si="22">H60+H61-H62</f>
        <v>10095.035190000001</v>
      </c>
      <c r="I63" s="73">
        <f t="shared" ref="I63" si="23">I60+I61-I62</f>
        <v>10577.5487999</v>
      </c>
      <c r="J63" s="73">
        <f t="shared" ref="J63" si="24">J60+J61-J62</f>
        <v>11084.064019201</v>
      </c>
      <c r="K63" s="73">
        <f t="shared" ref="K63" si="25">K60+K61-K62</f>
        <v>11615.84208994359</v>
      </c>
      <c r="L63" s="74">
        <f t="shared" ref="L63" si="26">L60+L61-L62</f>
        <v>12174.211898998068</v>
      </c>
    </row>
    <row r="64" spans="2:13" x14ac:dyDescent="0.3">
      <c r="B64" s="70"/>
      <c r="C64" s="73"/>
      <c r="D64" s="73"/>
      <c r="E64" s="73"/>
      <c r="F64" s="73"/>
      <c r="G64" s="74"/>
      <c r="H64" s="73"/>
      <c r="I64" s="73"/>
      <c r="J64" s="73"/>
      <c r="K64" s="73"/>
      <c r="L64" s="74"/>
    </row>
    <row r="65" spans="2:12" x14ac:dyDescent="0.3">
      <c r="B65" s="50" t="s">
        <v>104</v>
      </c>
      <c r="C65" s="51"/>
      <c r="D65" s="51"/>
      <c r="E65" s="51"/>
      <c r="F65" s="51"/>
      <c r="G65" s="51"/>
      <c r="H65" s="51"/>
      <c r="I65" s="51"/>
      <c r="J65" s="51"/>
      <c r="K65" s="51"/>
      <c r="L65" s="52"/>
    </row>
    <row r="66" spans="2:12" x14ac:dyDescent="0.3">
      <c r="B66" s="70" t="s">
        <v>99</v>
      </c>
      <c r="C66" s="73">
        <f>SUM(C67:C69)</f>
        <v>31</v>
      </c>
      <c r="D66" s="73">
        <f t="shared" ref="D66:G66" si="27">SUM(D67:D69)</f>
        <v>34</v>
      </c>
      <c r="E66" s="73">
        <f t="shared" si="27"/>
        <v>39</v>
      </c>
      <c r="F66" s="73">
        <f t="shared" si="27"/>
        <v>42</v>
      </c>
      <c r="G66" s="74">
        <f t="shared" si="27"/>
        <v>53</v>
      </c>
      <c r="H66" s="71">
        <v>40</v>
      </c>
      <c r="I66" s="71">
        <v>40</v>
      </c>
      <c r="J66" s="71">
        <v>40</v>
      </c>
      <c r="K66" s="71">
        <v>40</v>
      </c>
      <c r="L66" s="72">
        <v>40</v>
      </c>
    </row>
    <row r="67" spans="2:12" x14ac:dyDescent="0.3">
      <c r="B67" s="70" t="s">
        <v>100</v>
      </c>
      <c r="C67" s="71">
        <v>14</v>
      </c>
      <c r="D67" s="71">
        <v>15</v>
      </c>
      <c r="E67" s="71">
        <v>17</v>
      </c>
      <c r="F67" s="71">
        <v>18</v>
      </c>
      <c r="G67" s="72">
        <v>19</v>
      </c>
      <c r="H67" s="73"/>
      <c r="I67" s="73"/>
      <c r="J67" s="73"/>
      <c r="K67" s="73"/>
      <c r="L67" s="74"/>
    </row>
    <row r="68" spans="2:12" x14ac:dyDescent="0.3">
      <c r="B68" s="70" t="s">
        <v>102</v>
      </c>
      <c r="C68" s="71">
        <v>0</v>
      </c>
      <c r="D68" s="71">
        <v>0</v>
      </c>
      <c r="E68" s="71">
        <v>0</v>
      </c>
      <c r="F68" s="71">
        <v>0</v>
      </c>
      <c r="G68" s="72">
        <v>10</v>
      </c>
      <c r="H68" s="73"/>
      <c r="I68" s="73"/>
      <c r="J68" s="73"/>
      <c r="K68" s="73"/>
      <c r="L68" s="74"/>
    </row>
    <row r="69" spans="2:12" x14ac:dyDescent="0.3">
      <c r="B69" s="70" t="s">
        <v>101</v>
      </c>
      <c r="C69" s="71">
        <v>17</v>
      </c>
      <c r="D69" s="71">
        <v>19</v>
      </c>
      <c r="E69" s="71">
        <v>22</v>
      </c>
      <c r="F69" s="71">
        <v>24</v>
      </c>
      <c r="G69" s="72">
        <v>24</v>
      </c>
      <c r="H69" s="73"/>
      <c r="I69" s="73"/>
      <c r="J69" s="73"/>
      <c r="K69" s="73"/>
      <c r="L69" s="74"/>
    </row>
    <row r="70" spans="2:12" x14ac:dyDescent="0.3">
      <c r="B70" s="70" t="s">
        <v>103</v>
      </c>
      <c r="C70" s="75">
        <f>(C71/C91)</f>
        <v>0.91062500000000002</v>
      </c>
      <c r="D70" s="75">
        <f>(D71/D91)</f>
        <v>0.89906605153595143</v>
      </c>
      <c r="E70" s="75">
        <f>(E71/E91)</f>
        <v>0.9034006899950715</v>
      </c>
      <c r="F70" s="75">
        <f>(F71/F91)</f>
        <v>0.95955667898113939</v>
      </c>
      <c r="G70" s="76">
        <f>(G71/G91)</f>
        <v>1.1663077067141119</v>
      </c>
      <c r="H70" s="75">
        <f>(H71/H91)</f>
        <v>0.84410155891648075</v>
      </c>
      <c r="I70" s="75">
        <f>(I71/I91)</f>
        <v>0.80523195490471777</v>
      </c>
      <c r="J70" s="75">
        <f>(J71/J91)</f>
        <v>0.76596044344258774</v>
      </c>
      <c r="K70" s="75">
        <f>(K71/K91)</f>
        <v>0.72852830306320648</v>
      </c>
      <c r="L70" s="76">
        <f>(L71/L91)</f>
        <v>0.69285524587250036</v>
      </c>
    </row>
    <row r="71" spans="2:12" x14ac:dyDescent="0.3">
      <c r="B71" s="70" t="s">
        <v>106</v>
      </c>
      <c r="C71" s="73">
        <f>C66*C72</f>
        <v>7285</v>
      </c>
      <c r="D71" s="73">
        <f t="shared" ref="D71:L71" si="28">D66*D72</f>
        <v>7990</v>
      </c>
      <c r="E71" s="73">
        <f t="shared" si="28"/>
        <v>9165</v>
      </c>
      <c r="F71" s="73">
        <f t="shared" si="28"/>
        <v>9870</v>
      </c>
      <c r="G71" s="74">
        <f t="shared" si="28"/>
        <v>12455</v>
      </c>
      <c r="H71" s="73">
        <f t="shared" si="28"/>
        <v>9400</v>
      </c>
      <c r="I71" s="73">
        <f t="shared" si="28"/>
        <v>9400</v>
      </c>
      <c r="J71" s="73">
        <f t="shared" si="28"/>
        <v>9400</v>
      </c>
      <c r="K71" s="73">
        <f t="shared" si="28"/>
        <v>9400</v>
      </c>
      <c r="L71" s="74">
        <f t="shared" si="28"/>
        <v>9400</v>
      </c>
    </row>
    <row r="72" spans="2:12" x14ac:dyDescent="0.3">
      <c r="B72" s="70" t="s">
        <v>107</v>
      </c>
      <c r="C72" s="71">
        <v>235</v>
      </c>
      <c r="D72" s="71">
        <v>235</v>
      </c>
      <c r="E72" s="71">
        <v>235</v>
      </c>
      <c r="F72" s="71">
        <v>235</v>
      </c>
      <c r="G72" s="72">
        <v>235</v>
      </c>
      <c r="H72" s="71">
        <v>235</v>
      </c>
      <c r="I72" s="71">
        <v>235</v>
      </c>
      <c r="J72" s="71">
        <v>235</v>
      </c>
      <c r="K72" s="71">
        <v>235</v>
      </c>
      <c r="L72" s="72">
        <v>235</v>
      </c>
    </row>
    <row r="73" spans="2:12" x14ac:dyDescent="0.3">
      <c r="B73" s="42"/>
      <c r="C73" s="53"/>
      <c r="D73" s="53"/>
      <c r="E73" s="53"/>
      <c r="F73" s="53"/>
      <c r="G73" s="54"/>
      <c r="H73" s="53"/>
      <c r="I73" s="53"/>
      <c r="J73" s="53"/>
      <c r="K73" s="53"/>
      <c r="L73" s="54"/>
    </row>
    <row r="74" spans="2:12" x14ac:dyDescent="0.3">
      <c r="B74" s="35" t="s">
        <v>83</v>
      </c>
      <c r="C74" s="36"/>
      <c r="D74" s="36"/>
      <c r="E74" s="36"/>
      <c r="F74" s="36"/>
      <c r="G74" s="36"/>
      <c r="H74" s="36"/>
      <c r="I74" s="36"/>
      <c r="J74" s="36"/>
      <c r="K74" s="36"/>
      <c r="L74" s="37"/>
    </row>
    <row r="75" spans="2:12" x14ac:dyDescent="0.3">
      <c r="B75" s="70" t="s">
        <v>50</v>
      </c>
      <c r="C75" s="73">
        <f>C13</f>
        <v>47028</v>
      </c>
      <c r="D75" s="73">
        <f t="shared" ref="D75:G75" si="29">D13</f>
        <v>52446</v>
      </c>
      <c r="E75" s="73">
        <f t="shared" si="29"/>
        <v>60580</v>
      </c>
      <c r="F75" s="73">
        <f t="shared" si="29"/>
        <v>61896</v>
      </c>
      <c r="G75" s="74">
        <f t="shared" si="29"/>
        <v>63121</v>
      </c>
      <c r="H75" s="73">
        <f>H13</f>
        <v>65862.170000000013</v>
      </c>
      <c r="I75" s="73">
        <f t="shared" ref="I75:L75" si="30">I13</f>
        <v>68930.515700000004</v>
      </c>
      <c r="J75" s="73">
        <f t="shared" si="30"/>
        <v>72359.317043000003</v>
      </c>
      <c r="K75" s="73">
        <f t="shared" si="30"/>
        <v>75968.295820369996</v>
      </c>
      <c r="L75" s="74">
        <f t="shared" si="30"/>
        <v>79767.115579211313</v>
      </c>
    </row>
    <row r="76" spans="2:12" x14ac:dyDescent="0.3">
      <c r="B76" s="70" t="s">
        <v>51</v>
      </c>
      <c r="C76" s="73">
        <f>SUM(C77:C79)</f>
        <v>22148</v>
      </c>
      <c r="D76" s="73">
        <f t="shared" ref="D76:G76" si="31">SUM(D77:D79)</f>
        <v>25735</v>
      </c>
      <c r="E76" s="73">
        <f t="shared" si="31"/>
        <v>31716</v>
      </c>
      <c r="F76" s="73">
        <f t="shared" si="31"/>
        <v>29760</v>
      </c>
      <c r="G76" s="74">
        <f t="shared" si="31"/>
        <v>30578</v>
      </c>
      <c r="H76" s="73">
        <f>H13*H26</f>
        <v>32272.463300000007</v>
      </c>
      <c r="I76" s="73">
        <f>I13*I26</f>
        <v>33775.952692999999</v>
      </c>
      <c r="J76" s="73">
        <f>J13*J26</f>
        <v>35456.065351069999</v>
      </c>
      <c r="K76" s="73">
        <f>K13*K26</f>
        <v>37224.464951981296</v>
      </c>
      <c r="L76" s="74">
        <f>L13*L26</f>
        <v>39085.886633813541</v>
      </c>
    </row>
    <row r="77" spans="2:12" x14ac:dyDescent="0.3">
      <c r="B77" s="70" t="s">
        <v>52</v>
      </c>
      <c r="C77" s="71">
        <v>15432</v>
      </c>
      <c r="D77" s="71">
        <v>16446</v>
      </c>
      <c r="E77" s="71">
        <v>20212</v>
      </c>
      <c r="F77" s="71">
        <v>19257</v>
      </c>
      <c r="G77" s="72">
        <v>19458</v>
      </c>
      <c r="H77" s="87"/>
      <c r="I77" s="87"/>
      <c r="J77" s="87"/>
      <c r="K77" s="87"/>
      <c r="L77" s="90"/>
    </row>
    <row r="78" spans="2:12" x14ac:dyDescent="0.3">
      <c r="B78" s="70" t="s">
        <v>53</v>
      </c>
      <c r="C78" s="71">
        <v>7121</v>
      </c>
      <c r="D78" s="71">
        <v>9311</v>
      </c>
      <c r="E78" s="71">
        <v>11579</v>
      </c>
      <c r="F78" s="71">
        <v>10514</v>
      </c>
      <c r="G78" s="72">
        <v>11273</v>
      </c>
      <c r="H78" s="87"/>
      <c r="I78" s="87"/>
      <c r="J78" s="87"/>
      <c r="K78" s="87"/>
      <c r="L78" s="90"/>
    </row>
    <row r="79" spans="2:12" ht="25" x14ac:dyDescent="0.3">
      <c r="B79" s="70" t="s">
        <v>54</v>
      </c>
      <c r="C79" s="71">
        <v>-405</v>
      </c>
      <c r="D79" s="71">
        <v>-22</v>
      </c>
      <c r="E79" s="71">
        <v>-75</v>
      </c>
      <c r="F79" s="71">
        <v>-11</v>
      </c>
      <c r="G79" s="72">
        <v>-153</v>
      </c>
      <c r="H79" s="87"/>
      <c r="I79" s="87"/>
      <c r="J79" s="87"/>
      <c r="K79" s="87"/>
      <c r="L79" s="90"/>
    </row>
    <row r="80" spans="2:12" x14ac:dyDescent="0.3">
      <c r="B80" s="82" t="s">
        <v>2</v>
      </c>
      <c r="C80" s="91">
        <f>C75-C76</f>
        <v>24880</v>
      </c>
      <c r="D80" s="91">
        <f t="shared" ref="D80:L80" si="32">D75-D76</f>
        <v>26711</v>
      </c>
      <c r="E80" s="91">
        <f t="shared" si="32"/>
        <v>28864</v>
      </c>
      <c r="F80" s="91">
        <f t="shared" si="32"/>
        <v>32136</v>
      </c>
      <c r="G80" s="92">
        <f t="shared" si="32"/>
        <v>32543</v>
      </c>
      <c r="H80" s="91">
        <f t="shared" si="32"/>
        <v>33589.70670000001</v>
      </c>
      <c r="I80" s="91">
        <f t="shared" si="32"/>
        <v>35154.563007000004</v>
      </c>
      <c r="J80" s="91">
        <f t="shared" si="32"/>
        <v>36903.251691930003</v>
      </c>
      <c r="K80" s="91">
        <f t="shared" si="32"/>
        <v>38743.830868388701</v>
      </c>
      <c r="L80" s="92">
        <f t="shared" si="32"/>
        <v>40681.228945397772</v>
      </c>
    </row>
    <row r="81" spans="2:12" x14ac:dyDescent="0.3">
      <c r="B81" s="70" t="s">
        <v>55</v>
      </c>
      <c r="C81" s="71">
        <v>2358</v>
      </c>
      <c r="D81" s="71">
        <v>2545</v>
      </c>
      <c r="E81" s="71">
        <v>2854</v>
      </c>
      <c r="F81" s="71">
        <v>3009</v>
      </c>
      <c r="G81" s="72">
        <v>3077</v>
      </c>
      <c r="H81" s="73">
        <f>H13*H52</f>
        <v>3202.7344064426825</v>
      </c>
      <c r="I81" s="73">
        <f>I13*I52</f>
        <v>3351.9413995352334</v>
      </c>
      <c r="J81" s="73">
        <f>J13*J52</f>
        <v>3518.6765683595067</v>
      </c>
      <c r="K81" s="73">
        <f>K13*K52</f>
        <v>3694.1733748328484</v>
      </c>
      <c r="L81" s="74">
        <f>L13*L52</f>
        <v>3878.9017362809354</v>
      </c>
    </row>
    <row r="82" spans="2:12" x14ac:dyDescent="0.3">
      <c r="B82" s="70" t="s">
        <v>56</v>
      </c>
      <c r="C82" s="71">
        <v>10896</v>
      </c>
      <c r="D82" s="71">
        <v>11309</v>
      </c>
      <c r="E82" s="71">
        <v>11861</v>
      </c>
      <c r="F82" s="71">
        <v>14464</v>
      </c>
      <c r="G82" s="72">
        <v>14615</v>
      </c>
      <c r="H82" s="73">
        <f>H13*H55</f>
        <v>14599.476147235548</v>
      </c>
      <c r="I82" s="73">
        <f>I13*I55</f>
        <v>15279.62743679407</v>
      </c>
      <c r="J82" s="73">
        <f>J13*J55</f>
        <v>16039.679882997067</v>
      </c>
      <c r="K82" s="73">
        <f>K13*K55</f>
        <v>16839.671738353376</v>
      </c>
      <c r="L82" s="74">
        <f>L13*L55</f>
        <v>17681.74509331345</v>
      </c>
    </row>
    <row r="83" spans="2:12" x14ac:dyDescent="0.3">
      <c r="B83" s="82" t="s">
        <v>3</v>
      </c>
      <c r="C83" s="91">
        <f>C80-(C81+C82)</f>
        <v>11626</v>
      </c>
      <c r="D83" s="91">
        <f t="shared" ref="D83:G83" si="33">D80-(D81+D82)</f>
        <v>12857</v>
      </c>
      <c r="E83" s="91">
        <f t="shared" si="33"/>
        <v>14149</v>
      </c>
      <c r="F83" s="91">
        <f t="shared" si="33"/>
        <v>14663</v>
      </c>
      <c r="G83" s="92">
        <f t="shared" si="33"/>
        <v>14851</v>
      </c>
      <c r="H83" s="91">
        <f t="shared" ref="H83" si="34">H80-(H81+H82)</f>
        <v>15787.496146321781</v>
      </c>
      <c r="I83" s="91">
        <f t="shared" ref="I83" si="35">I80-(I81+I82)</f>
        <v>16522.994170670703</v>
      </c>
      <c r="J83" s="91">
        <f t="shared" ref="J83" si="36">J80-(J81+J82)</f>
        <v>17344.895240573431</v>
      </c>
      <c r="K83" s="91">
        <f t="shared" ref="K83" si="37">K80-(K81+K82)</f>
        <v>18209.985755202477</v>
      </c>
      <c r="L83" s="92">
        <f t="shared" ref="L83" si="38">L80-(L81+L82)</f>
        <v>19120.582115803387</v>
      </c>
    </row>
    <row r="84" spans="2:12" x14ac:dyDescent="0.3">
      <c r="B84" s="70" t="s">
        <v>57</v>
      </c>
      <c r="C84" s="71">
        <v>1074</v>
      </c>
      <c r="D84" s="71">
        <v>1091</v>
      </c>
      <c r="E84" s="71">
        <v>1137</v>
      </c>
      <c r="F84" s="71">
        <v>1216</v>
      </c>
      <c r="G84" s="72">
        <v>1355</v>
      </c>
      <c r="H84" s="73">
        <f>H13*H49</f>
        <v>1514.8299100000004</v>
      </c>
      <c r="I84" s="73">
        <f>I13*I49</f>
        <v>1585.4018611000001</v>
      </c>
      <c r="J84" s="73">
        <f>J13*J49</f>
        <v>1664.264291989</v>
      </c>
      <c r="K84" s="73">
        <f>K13*K49</f>
        <v>1747.2708038685098</v>
      </c>
      <c r="L84" s="74">
        <f>L13*L49</f>
        <v>1834.6436583218601</v>
      </c>
    </row>
    <row r="85" spans="2:12" x14ac:dyDescent="0.3">
      <c r="B85" s="82" t="s">
        <v>4</v>
      </c>
      <c r="C85" s="91">
        <f>C83-C84</f>
        <v>10552</v>
      </c>
      <c r="D85" s="91">
        <f t="shared" ref="D85:L85" si="39">D83-D84</f>
        <v>11766</v>
      </c>
      <c r="E85" s="91">
        <f t="shared" si="39"/>
        <v>13012</v>
      </c>
      <c r="F85" s="91">
        <f t="shared" si="39"/>
        <v>13447</v>
      </c>
      <c r="G85" s="92">
        <f t="shared" si="39"/>
        <v>13496</v>
      </c>
      <c r="H85" s="91">
        <f t="shared" si="39"/>
        <v>14272.66623632178</v>
      </c>
      <c r="I85" s="91">
        <f t="shared" si="39"/>
        <v>14937.592309570704</v>
      </c>
      <c r="J85" s="91">
        <f t="shared" si="39"/>
        <v>15680.63094858443</v>
      </c>
      <c r="K85" s="91">
        <f t="shared" si="39"/>
        <v>16462.714951333968</v>
      </c>
      <c r="L85" s="92">
        <f t="shared" si="39"/>
        <v>17285.938457481527</v>
      </c>
    </row>
    <row r="86" spans="2:12" x14ac:dyDescent="0.3">
      <c r="B86" s="70" t="s">
        <v>109</v>
      </c>
      <c r="C86" s="71">
        <v>410</v>
      </c>
      <c r="D86" s="71">
        <v>258</v>
      </c>
      <c r="E86" s="71">
        <v>512</v>
      </c>
      <c r="F86" s="71">
        <v>811</v>
      </c>
      <c r="G86" s="72">
        <v>1017</v>
      </c>
      <c r="H86" s="73">
        <f>G86*(1+H23)</f>
        <v>1078.02</v>
      </c>
      <c r="I86" s="73">
        <f>H86*(1+I23)</f>
        <v>1142.7012</v>
      </c>
      <c r="J86" s="73">
        <f>I86*(1+J23)</f>
        <v>1211.2632720000001</v>
      </c>
      <c r="K86" s="73">
        <f>J86*(1+K23)</f>
        <v>1283.9390683200002</v>
      </c>
      <c r="L86" s="74">
        <f>K86*(1+L23)</f>
        <v>1360.9754124192002</v>
      </c>
    </row>
    <row r="87" spans="2:12" x14ac:dyDescent="0.3">
      <c r="B87" s="70" t="s">
        <v>58</v>
      </c>
      <c r="C87" s="71">
        <v>117</v>
      </c>
      <c r="D87" s="71">
        <v>106</v>
      </c>
      <c r="E87" s="71">
        <v>114</v>
      </c>
      <c r="F87" s="71">
        <v>334</v>
      </c>
      <c r="G87" s="72">
        <v>395</v>
      </c>
      <c r="H87" s="73">
        <f>G87*(1+H58)</f>
        <v>402.90000000000003</v>
      </c>
      <c r="I87" s="73">
        <f>H87*(1+I58)</f>
        <v>410.95800000000003</v>
      </c>
      <c r="J87" s="73">
        <f>I87*(1+J58)</f>
        <v>419.17716000000001</v>
      </c>
      <c r="K87" s="73">
        <f>J87*(1+K58)</f>
        <v>427.56070320000003</v>
      </c>
      <c r="L87" s="74">
        <f>K87*(1+L58)</f>
        <v>436.11191726400006</v>
      </c>
    </row>
    <row r="88" spans="2:12" x14ac:dyDescent="0.3">
      <c r="B88" s="82" t="s">
        <v>59</v>
      </c>
      <c r="C88" s="91">
        <f>C85+C86-C87</f>
        <v>10845</v>
      </c>
      <c r="D88" s="91">
        <f t="shared" ref="D88:L88" si="40">D85+D86-D87</f>
        <v>11918</v>
      </c>
      <c r="E88" s="91">
        <f t="shared" si="40"/>
        <v>13410</v>
      </c>
      <c r="F88" s="91">
        <f t="shared" si="40"/>
        <v>13924</v>
      </c>
      <c r="G88" s="92">
        <f t="shared" si="40"/>
        <v>14118</v>
      </c>
      <c r="H88" s="91">
        <f t="shared" si="40"/>
        <v>14947.786236321781</v>
      </c>
      <c r="I88" s="91">
        <f t="shared" si="40"/>
        <v>15669.335509570703</v>
      </c>
      <c r="J88" s="91">
        <f t="shared" si="40"/>
        <v>16472.717060584429</v>
      </c>
      <c r="K88" s="91">
        <f t="shared" si="40"/>
        <v>17319.093316453967</v>
      </c>
      <c r="L88" s="92">
        <f t="shared" si="40"/>
        <v>18210.801952636728</v>
      </c>
    </row>
    <row r="89" spans="2:12" x14ac:dyDescent="0.3">
      <c r="B89" s="70" t="s">
        <v>97</v>
      </c>
      <c r="C89" s="71">
        <v>2606</v>
      </c>
      <c r="D89" s="71">
        <v>2987</v>
      </c>
      <c r="E89" s="71">
        <v>3201</v>
      </c>
      <c r="F89" s="71">
        <v>3644</v>
      </c>
      <c r="G89" s="72">
        <v>3744</v>
      </c>
      <c r="H89" s="73">
        <f>H88*H46</f>
        <v>3811.6854902620544</v>
      </c>
      <c r="I89" s="73">
        <f>I88*I46</f>
        <v>3995.6805549405294</v>
      </c>
      <c r="J89" s="73">
        <f>J88*J46</f>
        <v>4200.5428504490292</v>
      </c>
      <c r="K89" s="73">
        <f>K88*K46</f>
        <v>4416.3687956957619</v>
      </c>
      <c r="L89" s="74">
        <f>L88*L46</f>
        <v>4643.7544979223658</v>
      </c>
    </row>
    <row r="90" spans="2:12" x14ac:dyDescent="0.3">
      <c r="B90" s="70" t="s">
        <v>110</v>
      </c>
      <c r="C90" s="71">
        <v>-239</v>
      </c>
      <c r="D90" s="71">
        <v>-44</v>
      </c>
      <c r="E90" s="71">
        <v>-64</v>
      </c>
      <c r="F90" s="71">
        <v>6</v>
      </c>
      <c r="G90" s="72">
        <v>305</v>
      </c>
      <c r="H90" s="71">
        <v>0</v>
      </c>
      <c r="I90" s="71">
        <v>0</v>
      </c>
      <c r="J90" s="71">
        <v>0</v>
      </c>
      <c r="K90" s="71">
        <v>0</v>
      </c>
      <c r="L90" s="72">
        <v>0</v>
      </c>
    </row>
    <row r="91" spans="2:12" x14ac:dyDescent="0.3">
      <c r="B91" s="82" t="s">
        <v>98</v>
      </c>
      <c r="C91" s="91">
        <f>C88+C90-C89</f>
        <v>8000</v>
      </c>
      <c r="D91" s="91">
        <f t="shared" ref="D91:G91" si="41">D88+D90-D89</f>
        <v>8887</v>
      </c>
      <c r="E91" s="91">
        <f t="shared" si="41"/>
        <v>10145</v>
      </c>
      <c r="F91" s="91">
        <f t="shared" si="41"/>
        <v>10286</v>
      </c>
      <c r="G91" s="92">
        <f t="shared" si="41"/>
        <v>10679</v>
      </c>
      <c r="H91" s="91">
        <f t="shared" ref="H91" si="42">H88+H90-H89</f>
        <v>11136.100746059727</v>
      </c>
      <c r="I91" s="91">
        <f t="shared" ref="I91" si="43">I88+I90-I89</f>
        <v>11673.654954630174</v>
      </c>
      <c r="J91" s="91">
        <f t="shared" ref="J91" si="44">J88+J90-J89</f>
        <v>12272.174210135399</v>
      </c>
      <c r="K91" s="91">
        <f t="shared" ref="K91" si="45">K88+K90-K89</f>
        <v>12902.724520758205</v>
      </c>
      <c r="L91" s="92">
        <f t="shared" ref="L91" si="46">L88+L90-L89</f>
        <v>13567.047454714362</v>
      </c>
    </row>
    <row r="92" spans="2:12" x14ac:dyDescent="0.3">
      <c r="B92" s="42"/>
      <c r="C92" s="53"/>
      <c r="D92" s="53"/>
      <c r="E92" s="53"/>
      <c r="F92" s="53"/>
      <c r="G92" s="54"/>
      <c r="H92" s="53"/>
      <c r="I92" s="53"/>
      <c r="J92" s="53"/>
      <c r="K92" s="53"/>
      <c r="L92" s="54"/>
    </row>
    <row r="93" spans="2:12" x14ac:dyDescent="0.3">
      <c r="B93" s="35" t="s">
        <v>84</v>
      </c>
      <c r="C93" s="36"/>
      <c r="D93" s="36"/>
      <c r="E93" s="36"/>
      <c r="F93" s="36"/>
      <c r="G93" s="36"/>
      <c r="H93" s="36"/>
      <c r="I93" s="36"/>
      <c r="J93" s="36"/>
      <c r="K93" s="36"/>
      <c r="L93" s="37"/>
    </row>
    <row r="94" spans="2:12" x14ac:dyDescent="0.3">
      <c r="B94" s="93" t="s">
        <v>6</v>
      </c>
      <c r="C94" s="94"/>
      <c r="D94" s="95"/>
      <c r="E94" s="95"/>
      <c r="F94" s="95"/>
      <c r="G94" s="95"/>
      <c r="H94" s="94"/>
      <c r="I94" s="95"/>
      <c r="J94" s="95"/>
      <c r="K94" s="95"/>
      <c r="L94" s="96"/>
    </row>
    <row r="95" spans="2:12" x14ac:dyDescent="0.3">
      <c r="B95" s="97" t="s">
        <v>7</v>
      </c>
      <c r="C95" s="98"/>
      <c r="D95" s="98"/>
      <c r="E95" s="98"/>
      <c r="F95" s="98"/>
      <c r="G95" s="98"/>
      <c r="H95" s="98"/>
      <c r="I95" s="98"/>
      <c r="J95" s="98"/>
      <c r="K95" s="98"/>
      <c r="L95" s="99"/>
    </row>
    <row r="96" spans="2:12" x14ac:dyDescent="0.3">
      <c r="B96" s="70" t="s">
        <v>108</v>
      </c>
      <c r="C96" s="71">
        <v>6861</v>
      </c>
      <c r="D96" s="71">
        <v>7482</v>
      </c>
      <c r="E96" s="71">
        <v>8081</v>
      </c>
      <c r="F96" s="71">
        <v>9056</v>
      </c>
      <c r="G96" s="72">
        <v>9634</v>
      </c>
      <c r="H96" s="73">
        <f>H63</f>
        <v>10095.035190000001</v>
      </c>
      <c r="I96" s="73">
        <f>I63</f>
        <v>10577.5487999</v>
      </c>
      <c r="J96" s="73">
        <f>J63</f>
        <v>11084.064019201</v>
      </c>
      <c r="K96" s="73">
        <f>K63</f>
        <v>11615.84208994359</v>
      </c>
      <c r="L96" s="74">
        <f>L63</f>
        <v>12174.211898998068</v>
      </c>
    </row>
    <row r="97" spans="2:12" x14ac:dyDescent="0.3">
      <c r="B97" s="70" t="s">
        <v>8</v>
      </c>
      <c r="C97" s="71">
        <v>45327</v>
      </c>
      <c r="D97" s="71">
        <v>45304</v>
      </c>
      <c r="E97" s="71">
        <v>45729</v>
      </c>
      <c r="F97" s="71">
        <v>45713</v>
      </c>
      <c r="G97" s="72">
        <v>45710</v>
      </c>
      <c r="H97" s="71">
        <v>45710</v>
      </c>
      <c r="I97" s="71">
        <v>45710</v>
      </c>
      <c r="J97" s="71">
        <v>45710</v>
      </c>
      <c r="K97" s="71">
        <v>45710</v>
      </c>
      <c r="L97" s="72">
        <v>45710</v>
      </c>
    </row>
    <row r="98" spans="2:12" x14ac:dyDescent="0.3">
      <c r="B98" s="70" t="s">
        <v>9</v>
      </c>
      <c r="C98" s="71">
        <v>2352</v>
      </c>
      <c r="D98" s="71">
        <v>2209</v>
      </c>
      <c r="E98" s="71">
        <v>2279</v>
      </c>
      <c r="F98" s="71">
        <v>2406</v>
      </c>
      <c r="G98" s="72">
        <v>2485</v>
      </c>
      <c r="H98" s="71">
        <v>2485</v>
      </c>
      <c r="I98" s="71">
        <v>2485</v>
      </c>
      <c r="J98" s="71">
        <v>2485</v>
      </c>
      <c r="K98" s="71">
        <v>2485</v>
      </c>
      <c r="L98" s="72">
        <v>2485</v>
      </c>
    </row>
    <row r="99" spans="2:12" x14ac:dyDescent="0.3">
      <c r="B99" s="82" t="s">
        <v>10</v>
      </c>
      <c r="C99" s="91">
        <f>SUM(C96:C98)</f>
        <v>54540</v>
      </c>
      <c r="D99" s="91">
        <f t="shared" ref="D99:L99" si="47">SUM(D96:D98)</f>
        <v>54995</v>
      </c>
      <c r="E99" s="91">
        <f t="shared" si="47"/>
        <v>56089</v>
      </c>
      <c r="F99" s="91">
        <f t="shared" si="47"/>
        <v>57175</v>
      </c>
      <c r="G99" s="92">
        <f t="shared" si="47"/>
        <v>57829</v>
      </c>
      <c r="H99" s="91">
        <f t="shared" si="47"/>
        <v>58290.035190000002</v>
      </c>
      <c r="I99" s="91">
        <f t="shared" si="47"/>
        <v>58772.548799900003</v>
      </c>
      <c r="J99" s="91">
        <f t="shared" si="47"/>
        <v>59279.064019201003</v>
      </c>
      <c r="K99" s="91">
        <f t="shared" si="47"/>
        <v>59810.842089943588</v>
      </c>
      <c r="L99" s="92">
        <f t="shared" si="47"/>
        <v>60369.211898998066</v>
      </c>
    </row>
    <row r="100" spans="2:12" x14ac:dyDescent="0.3">
      <c r="B100" s="97" t="s">
        <v>11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1"/>
    </row>
    <row r="101" spans="2:12" x14ac:dyDescent="0.3">
      <c r="B101" s="70" t="s">
        <v>12</v>
      </c>
      <c r="C101" s="71">
        <v>3579</v>
      </c>
      <c r="D101" s="71">
        <v>4096</v>
      </c>
      <c r="E101" s="71">
        <v>4251</v>
      </c>
      <c r="F101" s="71">
        <v>4022</v>
      </c>
      <c r="G101" s="72">
        <v>4415</v>
      </c>
      <c r="H101" s="73">
        <f>(H76/365)*H33</f>
        <v>4420.8853835616446</v>
      </c>
      <c r="I101" s="73">
        <f>(I76/365)*I33</f>
        <v>4626.8428346575338</v>
      </c>
      <c r="J101" s="73">
        <f>(J76/365)*J33</f>
        <v>4856.9952535712328</v>
      </c>
      <c r="K101" s="73">
        <f>(K76/365)*K33</f>
        <v>5099.241774244013</v>
      </c>
      <c r="L101" s="74">
        <f>(L76/365)*L33</f>
        <v>5354.2310457278827</v>
      </c>
    </row>
    <row r="102" spans="2:12" x14ac:dyDescent="0.3">
      <c r="B102" s="70" t="s">
        <v>13</v>
      </c>
      <c r="C102" s="71">
        <v>1758</v>
      </c>
      <c r="D102" s="71">
        <v>2236</v>
      </c>
      <c r="E102" s="71">
        <v>3079</v>
      </c>
      <c r="F102" s="71">
        <v>2997</v>
      </c>
      <c r="G102" s="72">
        <v>3819</v>
      </c>
      <c r="H102" s="73">
        <f>(H13/365)*H32</f>
        <v>3608.8860273972609</v>
      </c>
      <c r="I102" s="73">
        <f>(I13/365)*I32</f>
        <v>3777.0145589041094</v>
      </c>
      <c r="J102" s="73">
        <f>(J13/365)*J32</f>
        <v>3964.8940845479456</v>
      </c>
      <c r="K102" s="73">
        <f>(K13/365)*K32</f>
        <v>4162.6463463216433</v>
      </c>
      <c r="L102" s="74">
        <f>(L13/365)*L32</f>
        <v>4370.8008536554144</v>
      </c>
    </row>
    <row r="103" spans="2:12" x14ac:dyDescent="0.3">
      <c r="B103" s="70" t="s">
        <v>117</v>
      </c>
      <c r="C103" s="71">
        <v>4471</v>
      </c>
      <c r="D103" s="71">
        <v>3846</v>
      </c>
      <c r="E103" s="71">
        <v>4678</v>
      </c>
      <c r="F103" s="71">
        <v>7559</v>
      </c>
      <c r="G103" s="72">
        <v>7554</v>
      </c>
      <c r="H103" s="73">
        <f>H159</f>
        <v>7875.8211423610974</v>
      </c>
      <c r="I103" s="73">
        <f t="shared" ref="I103:L103" si="48">I159</f>
        <v>9993.743877337849</v>
      </c>
      <c r="J103" s="73">
        <f t="shared" si="48"/>
        <v>12729.538467790328</v>
      </c>
      <c r="K103" s="73">
        <f t="shared" si="48"/>
        <v>16108.340772058695</v>
      </c>
      <c r="L103" s="74">
        <f t="shared" si="48"/>
        <v>20167.683598864249</v>
      </c>
    </row>
    <row r="104" spans="2:12" x14ac:dyDescent="0.3">
      <c r="B104" s="70" t="s">
        <v>14</v>
      </c>
      <c r="C104" s="71">
        <v>4409</v>
      </c>
      <c r="D104" s="71">
        <v>5344</v>
      </c>
      <c r="E104" s="71">
        <v>4990</v>
      </c>
      <c r="F104" s="71">
        <v>6746</v>
      </c>
      <c r="G104" s="72">
        <v>6263</v>
      </c>
      <c r="H104" s="71">
        <v>7746</v>
      </c>
      <c r="I104" s="71">
        <v>7746</v>
      </c>
      <c r="J104" s="71">
        <v>7746</v>
      </c>
      <c r="K104" s="71">
        <v>7746</v>
      </c>
      <c r="L104" s="72">
        <v>7746</v>
      </c>
    </row>
    <row r="105" spans="2:12" x14ac:dyDescent="0.3">
      <c r="B105" s="82" t="s">
        <v>15</v>
      </c>
      <c r="C105" s="91">
        <f>SUM(C101:C104)</f>
        <v>14217</v>
      </c>
      <c r="D105" s="91">
        <f t="shared" ref="D105:L105" si="49">SUM(D101:D104)</f>
        <v>15522</v>
      </c>
      <c r="E105" s="91">
        <f t="shared" si="49"/>
        <v>16998</v>
      </c>
      <c r="F105" s="91">
        <f t="shared" si="49"/>
        <v>21324</v>
      </c>
      <c r="G105" s="92">
        <f t="shared" si="49"/>
        <v>22051</v>
      </c>
      <c r="H105" s="91">
        <f t="shared" si="49"/>
        <v>23651.592553320002</v>
      </c>
      <c r="I105" s="91">
        <f t="shared" si="49"/>
        <v>26143.601270899493</v>
      </c>
      <c r="J105" s="91">
        <f t="shared" si="49"/>
        <v>29297.427805909505</v>
      </c>
      <c r="K105" s="91">
        <f t="shared" si="49"/>
        <v>33116.228892624349</v>
      </c>
      <c r="L105" s="92">
        <f t="shared" si="49"/>
        <v>37638.715498247548</v>
      </c>
    </row>
    <row r="106" spans="2:12" ht="14.5" thickBot="1" x14ac:dyDescent="0.35">
      <c r="B106" s="102" t="s">
        <v>16</v>
      </c>
      <c r="C106" s="103">
        <f>C105+C99</f>
        <v>68757</v>
      </c>
      <c r="D106" s="103">
        <f t="shared" ref="D106:L106" si="50">D105+D99</f>
        <v>70517</v>
      </c>
      <c r="E106" s="103">
        <f t="shared" si="50"/>
        <v>73087</v>
      </c>
      <c r="F106" s="103">
        <f t="shared" si="50"/>
        <v>78499</v>
      </c>
      <c r="G106" s="104">
        <f t="shared" si="50"/>
        <v>79880</v>
      </c>
      <c r="H106" s="103">
        <f t="shared" si="50"/>
        <v>81941.627743320001</v>
      </c>
      <c r="I106" s="103">
        <f t="shared" si="50"/>
        <v>84916.1500707995</v>
      </c>
      <c r="J106" s="103">
        <f t="shared" si="50"/>
        <v>88576.491825110512</v>
      </c>
      <c r="K106" s="103">
        <f t="shared" si="50"/>
        <v>92927.070982567937</v>
      </c>
      <c r="L106" s="104">
        <f t="shared" si="50"/>
        <v>98007.927397245614</v>
      </c>
    </row>
    <row r="107" spans="2:12" ht="14.5" thickTop="1" x14ac:dyDescent="0.3">
      <c r="B107" s="62"/>
      <c r="C107" s="43"/>
      <c r="D107" s="43"/>
      <c r="E107" s="43"/>
      <c r="F107" s="43"/>
      <c r="G107" s="43"/>
      <c r="H107" s="63"/>
      <c r="I107" s="43"/>
      <c r="J107" s="43"/>
      <c r="K107" s="43"/>
      <c r="L107" s="44"/>
    </row>
    <row r="108" spans="2:12" x14ac:dyDescent="0.3">
      <c r="B108" s="105" t="s">
        <v>17</v>
      </c>
      <c r="C108" s="106"/>
      <c r="D108" s="106"/>
      <c r="E108" s="106"/>
      <c r="F108" s="106"/>
      <c r="G108" s="106"/>
      <c r="H108" s="106"/>
      <c r="I108" s="106"/>
      <c r="J108" s="106"/>
      <c r="K108" s="106"/>
      <c r="L108" s="107"/>
    </row>
    <row r="109" spans="2:12" x14ac:dyDescent="0.3">
      <c r="B109" s="97" t="s">
        <v>18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1"/>
    </row>
    <row r="110" spans="2:12" x14ac:dyDescent="0.3">
      <c r="B110" s="70" t="s">
        <v>19</v>
      </c>
      <c r="C110" s="71">
        <v>235</v>
      </c>
      <c r="D110" s="71">
        <v>235</v>
      </c>
      <c r="E110" s="71">
        <v>235</v>
      </c>
      <c r="F110" s="71">
        <v>235</v>
      </c>
      <c r="G110" s="72">
        <v>235</v>
      </c>
      <c r="H110" s="71">
        <v>235</v>
      </c>
      <c r="I110" s="71">
        <v>235</v>
      </c>
      <c r="J110" s="71">
        <v>235</v>
      </c>
      <c r="K110" s="71">
        <v>235</v>
      </c>
      <c r="L110" s="72">
        <v>235</v>
      </c>
    </row>
    <row r="111" spans="2:12" x14ac:dyDescent="0.3">
      <c r="B111" s="70" t="s">
        <v>20</v>
      </c>
      <c r="C111" s="71">
        <v>47439</v>
      </c>
      <c r="D111" s="71">
        <v>48826</v>
      </c>
      <c r="E111" s="71">
        <v>50069</v>
      </c>
      <c r="F111" s="71">
        <v>50983</v>
      </c>
      <c r="G111" s="72">
        <v>49167</v>
      </c>
      <c r="H111" s="73">
        <f>G111+H91-H71</f>
        <v>50903.100746059725</v>
      </c>
      <c r="I111" s="73">
        <f>H111+I91-I71</f>
        <v>53176.755700689901</v>
      </c>
      <c r="J111" s="73">
        <f>I111+J91-J71</f>
        <v>56048.929910825304</v>
      </c>
      <c r="K111" s="73">
        <f>J111+K91-K71</f>
        <v>59551.654431583505</v>
      </c>
      <c r="L111" s="74">
        <f>K111+L91-L71</f>
        <v>63718.701886297873</v>
      </c>
    </row>
    <row r="112" spans="2:12" x14ac:dyDescent="0.3">
      <c r="B112" s="70" t="s">
        <v>60</v>
      </c>
      <c r="C112" s="71">
        <v>20</v>
      </c>
      <c r="D112" s="71">
        <v>26</v>
      </c>
      <c r="E112" s="71">
        <v>218</v>
      </c>
      <c r="F112" s="71">
        <v>205</v>
      </c>
      <c r="G112" s="72">
        <v>207</v>
      </c>
      <c r="H112" s="73">
        <f>AVERAGE($E$112:$G$112)</f>
        <v>210</v>
      </c>
      <c r="I112" s="73">
        <f t="shared" ref="I112:L112" si="51">AVERAGE($E$112:$G$112)</f>
        <v>210</v>
      </c>
      <c r="J112" s="73">
        <f t="shared" si="51"/>
        <v>210</v>
      </c>
      <c r="K112" s="73">
        <f t="shared" si="51"/>
        <v>210</v>
      </c>
      <c r="L112" s="74">
        <f t="shared" si="51"/>
        <v>210</v>
      </c>
    </row>
    <row r="113" spans="2:12" x14ac:dyDescent="0.3">
      <c r="B113" s="82" t="s">
        <v>21</v>
      </c>
      <c r="C113" s="91">
        <f>SUM(C110:C112)</f>
        <v>47694</v>
      </c>
      <c r="D113" s="91">
        <f t="shared" ref="D113:L113" si="52">SUM(D110:D112)</f>
        <v>49087</v>
      </c>
      <c r="E113" s="91">
        <f t="shared" si="52"/>
        <v>50522</v>
      </c>
      <c r="F113" s="91">
        <f t="shared" si="52"/>
        <v>51423</v>
      </c>
      <c r="G113" s="92">
        <f t="shared" si="52"/>
        <v>49609</v>
      </c>
      <c r="H113" s="91">
        <f t="shared" si="52"/>
        <v>51348.100746059725</v>
      </c>
      <c r="I113" s="91">
        <f t="shared" si="52"/>
        <v>53621.755700689901</v>
      </c>
      <c r="J113" s="91">
        <f t="shared" si="52"/>
        <v>56493.929910825304</v>
      </c>
      <c r="K113" s="91">
        <f t="shared" si="52"/>
        <v>59996.654431583505</v>
      </c>
      <c r="L113" s="92">
        <f t="shared" si="52"/>
        <v>64163.701886297873</v>
      </c>
    </row>
    <row r="114" spans="2:12" x14ac:dyDescent="0.3">
      <c r="B114" s="70"/>
      <c r="C114" s="73"/>
      <c r="D114" s="73"/>
      <c r="E114" s="73"/>
      <c r="F114" s="73"/>
      <c r="G114" s="74"/>
      <c r="H114" s="73"/>
      <c r="I114" s="73"/>
      <c r="J114" s="73"/>
      <c r="K114" s="73"/>
      <c r="L114" s="74"/>
    </row>
    <row r="115" spans="2:12" x14ac:dyDescent="0.3">
      <c r="B115" s="93" t="s">
        <v>22</v>
      </c>
      <c r="C115" s="108"/>
      <c r="D115" s="108"/>
      <c r="E115" s="108"/>
      <c r="F115" s="108"/>
      <c r="G115" s="108"/>
      <c r="H115" s="108"/>
      <c r="I115" s="108"/>
      <c r="J115" s="108"/>
      <c r="K115" s="108"/>
      <c r="L115" s="109"/>
    </row>
    <row r="116" spans="2:12" x14ac:dyDescent="0.3">
      <c r="B116" s="97" t="s">
        <v>23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1"/>
    </row>
    <row r="117" spans="2:12" x14ac:dyDescent="0.3">
      <c r="B117" s="70" t="s">
        <v>24</v>
      </c>
      <c r="C117" s="71">
        <v>0</v>
      </c>
      <c r="D117" s="71">
        <v>0</v>
      </c>
      <c r="E117" s="71">
        <v>0</v>
      </c>
      <c r="F117" s="71">
        <v>0</v>
      </c>
      <c r="G117" s="72">
        <v>0</v>
      </c>
      <c r="H117" s="71">
        <v>0</v>
      </c>
      <c r="I117" s="71">
        <v>0</v>
      </c>
      <c r="J117" s="71">
        <v>0</v>
      </c>
      <c r="K117" s="71">
        <v>0</v>
      </c>
      <c r="L117" s="72">
        <v>0</v>
      </c>
    </row>
    <row r="118" spans="2:12" x14ac:dyDescent="0.3">
      <c r="B118" s="70" t="s">
        <v>153</v>
      </c>
      <c r="C118" s="71">
        <v>1027</v>
      </c>
      <c r="D118" s="71">
        <v>1098</v>
      </c>
      <c r="E118" s="71">
        <v>1667</v>
      </c>
      <c r="F118" s="71">
        <v>1821</v>
      </c>
      <c r="G118" s="72">
        <v>1923</v>
      </c>
      <c r="H118" s="110">
        <f>G118*(1+H37)</f>
        <v>2067.2249999999999</v>
      </c>
      <c r="I118" s="110">
        <f t="shared" ref="I118:L118" si="53">H118*(1+I37)</f>
        <v>2232.6030000000001</v>
      </c>
      <c r="J118" s="110">
        <f t="shared" si="53"/>
        <v>2422.3742550000002</v>
      </c>
      <c r="K118" s="110">
        <f t="shared" si="53"/>
        <v>2640.3879379500004</v>
      </c>
      <c r="L118" s="111">
        <f t="shared" si="53"/>
        <v>2891.2247920552504</v>
      </c>
    </row>
    <row r="119" spans="2:12" x14ac:dyDescent="0.3">
      <c r="B119" s="70" t="s">
        <v>25</v>
      </c>
      <c r="C119" s="71">
        <v>0</v>
      </c>
      <c r="D119" s="71">
        <v>0</v>
      </c>
      <c r="E119" s="71">
        <v>0</v>
      </c>
      <c r="F119" s="71">
        <v>0</v>
      </c>
      <c r="G119" s="72">
        <v>0</v>
      </c>
      <c r="H119" s="71">
        <v>0</v>
      </c>
      <c r="I119" s="71">
        <f>H119*(1+I37)</f>
        <v>0</v>
      </c>
      <c r="J119" s="71">
        <f>I119*(1+J37)</f>
        <v>0</v>
      </c>
      <c r="K119" s="71">
        <f>J119*(1+K37)</f>
        <v>0</v>
      </c>
      <c r="L119" s="72">
        <f>K119*(1+L37)</f>
        <v>0</v>
      </c>
    </row>
    <row r="120" spans="2:12" x14ac:dyDescent="0.3">
      <c r="B120" s="70" t="s">
        <v>26</v>
      </c>
      <c r="C120" s="71">
        <v>8933</v>
      </c>
      <c r="D120" s="71">
        <v>9052</v>
      </c>
      <c r="E120" s="71">
        <v>8870</v>
      </c>
      <c r="F120" s="71">
        <v>12376</v>
      </c>
      <c r="G120" s="72">
        <v>11811</v>
      </c>
      <c r="H120" s="73">
        <f>G120*(1+H40)</f>
        <v>11811</v>
      </c>
      <c r="I120" s="73">
        <f>H120*(1+I40)</f>
        <v>11811</v>
      </c>
      <c r="J120" s="73">
        <f>I120*(1+J40)</f>
        <v>11811</v>
      </c>
      <c r="K120" s="73">
        <f>J120*(1+K40)</f>
        <v>11811</v>
      </c>
      <c r="L120" s="112">
        <f>K120*(1+L40)</f>
        <v>11811</v>
      </c>
    </row>
    <row r="121" spans="2:12" x14ac:dyDescent="0.3">
      <c r="B121" s="82" t="s">
        <v>27</v>
      </c>
      <c r="C121" s="91">
        <f>SUM(C117:C120)</f>
        <v>9960</v>
      </c>
      <c r="D121" s="91">
        <f t="shared" ref="D121:L121" si="54">SUM(D117:D120)</f>
        <v>10150</v>
      </c>
      <c r="E121" s="91">
        <f t="shared" si="54"/>
        <v>10537</v>
      </c>
      <c r="F121" s="91">
        <f t="shared" si="54"/>
        <v>14197</v>
      </c>
      <c r="G121" s="92">
        <f t="shared" si="54"/>
        <v>13734</v>
      </c>
      <c r="H121" s="91">
        <f t="shared" si="54"/>
        <v>13878.225</v>
      </c>
      <c r="I121" s="91">
        <f t="shared" si="54"/>
        <v>14043.602999999999</v>
      </c>
      <c r="J121" s="91">
        <f t="shared" si="54"/>
        <v>14233.374255000001</v>
      </c>
      <c r="K121" s="91">
        <f t="shared" si="54"/>
        <v>14451.387937949999</v>
      </c>
      <c r="L121" s="92">
        <f t="shared" si="54"/>
        <v>14702.224792055251</v>
      </c>
    </row>
    <row r="122" spans="2:12" x14ac:dyDescent="0.3">
      <c r="B122" s="97" t="s">
        <v>28</v>
      </c>
      <c r="C122" s="113"/>
      <c r="D122" s="113"/>
      <c r="E122" s="113"/>
      <c r="F122" s="113"/>
      <c r="G122" s="113"/>
      <c r="H122" s="100"/>
      <c r="I122" s="100"/>
      <c r="J122" s="100"/>
      <c r="K122" s="100"/>
      <c r="L122" s="101"/>
    </row>
    <row r="123" spans="2:12" x14ac:dyDescent="0.3">
      <c r="B123" s="70" t="s">
        <v>24</v>
      </c>
      <c r="C123" s="71">
        <v>0</v>
      </c>
      <c r="D123" s="71">
        <v>0</v>
      </c>
      <c r="E123" s="71">
        <v>98</v>
      </c>
      <c r="F123" s="71">
        <v>13</v>
      </c>
      <c r="G123" s="72">
        <v>1</v>
      </c>
      <c r="H123" s="71">
        <v>0</v>
      </c>
      <c r="I123" s="71">
        <v>0</v>
      </c>
      <c r="J123" s="71">
        <v>0</v>
      </c>
      <c r="K123" s="71">
        <v>0</v>
      </c>
      <c r="L123" s="72">
        <v>0</v>
      </c>
    </row>
    <row r="124" spans="2:12" x14ac:dyDescent="0.3">
      <c r="B124" s="70" t="s">
        <v>29</v>
      </c>
      <c r="C124" s="71">
        <v>8802</v>
      </c>
      <c r="D124" s="71">
        <v>9068</v>
      </c>
      <c r="E124" s="71">
        <v>9574</v>
      </c>
      <c r="F124" s="71">
        <v>10486</v>
      </c>
      <c r="G124" s="72">
        <v>11315</v>
      </c>
      <c r="H124" s="73">
        <f>(H76/365)*H34</f>
        <v>11494.301997260276</v>
      </c>
      <c r="I124" s="73">
        <f>(I76/365)*I34</f>
        <v>12029.791370109589</v>
      </c>
      <c r="J124" s="73">
        <f>(J76/365)*J34</f>
        <v>12628.187659285204</v>
      </c>
      <c r="K124" s="73">
        <f>(K76/365)*K34</f>
        <v>13258.028613034434</v>
      </c>
      <c r="L124" s="74">
        <f>(L76/365)*L34</f>
        <v>13921.000718892494</v>
      </c>
    </row>
    <row r="125" spans="2:12" x14ac:dyDescent="0.3">
      <c r="B125" s="70" t="s">
        <v>30</v>
      </c>
      <c r="C125" s="71">
        <v>2301</v>
      </c>
      <c r="D125" s="71">
        <v>2212</v>
      </c>
      <c r="E125" s="71">
        <v>2356</v>
      </c>
      <c r="F125" s="71">
        <v>2380</v>
      </c>
      <c r="G125" s="114">
        <v>5221</v>
      </c>
      <c r="H125" s="71">
        <v>5221</v>
      </c>
      <c r="I125" s="71">
        <v>5221</v>
      </c>
      <c r="J125" s="71">
        <v>5221</v>
      </c>
      <c r="K125" s="71">
        <v>5221</v>
      </c>
      <c r="L125" s="114">
        <v>5221</v>
      </c>
    </row>
    <row r="126" spans="2:12" x14ac:dyDescent="0.3">
      <c r="B126" s="82" t="s">
        <v>31</v>
      </c>
      <c r="C126" s="91">
        <f>SUM(C123:C125)</f>
        <v>11103</v>
      </c>
      <c r="D126" s="91">
        <f t="shared" ref="D126:L126" si="55">SUM(D123:D125)</f>
        <v>11280</v>
      </c>
      <c r="E126" s="91">
        <f t="shared" si="55"/>
        <v>12028</v>
      </c>
      <c r="F126" s="91">
        <f t="shared" si="55"/>
        <v>12879</v>
      </c>
      <c r="G126" s="115">
        <f t="shared" si="55"/>
        <v>16537</v>
      </c>
      <c r="H126" s="116">
        <f t="shared" si="55"/>
        <v>16715.301997260278</v>
      </c>
      <c r="I126" s="116">
        <f t="shared" si="55"/>
        <v>17250.791370109589</v>
      </c>
      <c r="J126" s="116">
        <f t="shared" si="55"/>
        <v>17849.187659285206</v>
      </c>
      <c r="K126" s="116">
        <f t="shared" si="55"/>
        <v>18479.028613034432</v>
      </c>
      <c r="L126" s="115">
        <f t="shared" si="55"/>
        <v>19142.000718892494</v>
      </c>
    </row>
    <row r="127" spans="2:12" x14ac:dyDescent="0.3">
      <c r="B127" s="82" t="s">
        <v>32</v>
      </c>
      <c r="C127" s="91">
        <f>C126+C121</f>
        <v>21063</v>
      </c>
      <c r="D127" s="91">
        <f t="shared" ref="D127:L127" si="56">D126+D121</f>
        <v>21430</v>
      </c>
      <c r="E127" s="91">
        <f t="shared" si="56"/>
        <v>22565</v>
      </c>
      <c r="F127" s="91">
        <f t="shared" si="56"/>
        <v>27076</v>
      </c>
      <c r="G127" s="92">
        <f t="shared" si="56"/>
        <v>30271</v>
      </c>
      <c r="H127" s="91">
        <f t="shared" si="56"/>
        <v>30593.526997260276</v>
      </c>
      <c r="I127" s="91">
        <f t="shared" si="56"/>
        <v>31294.394370109589</v>
      </c>
      <c r="J127" s="91">
        <f t="shared" si="56"/>
        <v>32082.561914285208</v>
      </c>
      <c r="K127" s="91">
        <f t="shared" si="56"/>
        <v>32930.416550984432</v>
      </c>
      <c r="L127" s="92">
        <f t="shared" si="56"/>
        <v>33844.225510947741</v>
      </c>
    </row>
    <row r="128" spans="2:12" ht="14.5" thickBot="1" x14ac:dyDescent="0.35">
      <c r="B128" s="102" t="s">
        <v>33</v>
      </c>
      <c r="C128" s="103">
        <f>C127+C113</f>
        <v>68757</v>
      </c>
      <c r="D128" s="103">
        <f t="shared" ref="D128:L128" si="57">D127+D113</f>
        <v>70517</v>
      </c>
      <c r="E128" s="103">
        <f t="shared" si="57"/>
        <v>73087</v>
      </c>
      <c r="F128" s="103">
        <f t="shared" si="57"/>
        <v>78499</v>
      </c>
      <c r="G128" s="104">
        <f t="shared" si="57"/>
        <v>79880</v>
      </c>
      <c r="H128" s="103">
        <f t="shared" si="57"/>
        <v>81941.627743320001</v>
      </c>
      <c r="I128" s="103">
        <f t="shared" si="57"/>
        <v>84916.150070799486</v>
      </c>
      <c r="J128" s="103">
        <f t="shared" si="57"/>
        <v>88576.491825110512</v>
      </c>
      <c r="K128" s="103">
        <f t="shared" si="57"/>
        <v>92927.070982567937</v>
      </c>
      <c r="L128" s="104">
        <f t="shared" si="57"/>
        <v>98007.927397245614</v>
      </c>
    </row>
    <row r="129" spans="1:12" ht="14.5" thickTop="1" x14ac:dyDescent="0.3">
      <c r="B129" s="3"/>
      <c r="C129" s="64"/>
      <c r="D129" s="53"/>
      <c r="E129" s="53"/>
      <c r="F129" s="53"/>
      <c r="G129" s="53"/>
      <c r="H129" s="63"/>
      <c r="I129" s="43"/>
      <c r="J129" s="43"/>
      <c r="K129" s="43"/>
      <c r="L129" s="43"/>
    </row>
    <row r="130" spans="1:12" x14ac:dyDescent="0.3">
      <c r="B130" s="82" t="s">
        <v>91</v>
      </c>
      <c r="C130" s="117" t="str">
        <f>IF(C128=C106,"BALANCED","ERROR")</f>
        <v>BALANCED</v>
      </c>
      <c r="D130" s="118" t="str">
        <f t="shared" ref="D130:L130" si="58">IF(D128=D106,"BALANCED","ERROR")</f>
        <v>BALANCED</v>
      </c>
      <c r="E130" s="118" t="str">
        <f t="shared" si="58"/>
        <v>BALANCED</v>
      </c>
      <c r="F130" s="118" t="str">
        <f t="shared" si="58"/>
        <v>BALANCED</v>
      </c>
      <c r="G130" s="119" t="str">
        <f t="shared" si="58"/>
        <v>BALANCED</v>
      </c>
      <c r="H130" s="117" t="str">
        <f t="shared" si="58"/>
        <v>BALANCED</v>
      </c>
      <c r="I130" s="118" t="str">
        <f t="shared" si="58"/>
        <v>BALANCED</v>
      </c>
      <c r="J130" s="118" t="str">
        <f t="shared" si="58"/>
        <v>BALANCED</v>
      </c>
      <c r="K130" s="118" t="str">
        <f t="shared" si="58"/>
        <v>BALANCED</v>
      </c>
      <c r="L130" s="119" t="str">
        <f t="shared" si="58"/>
        <v>BALANCED</v>
      </c>
    </row>
    <row r="131" spans="1:12" x14ac:dyDescent="0.3">
      <c r="B131" s="120" t="s">
        <v>92</v>
      </c>
      <c r="C131" s="121">
        <f>C106-C128</f>
        <v>0</v>
      </c>
      <c r="D131" s="122">
        <f t="shared" ref="D131:L131" si="59">D106-D128</f>
        <v>0</v>
      </c>
      <c r="E131" s="122">
        <f t="shared" si="59"/>
        <v>0</v>
      </c>
      <c r="F131" s="122">
        <f t="shared" si="59"/>
        <v>0</v>
      </c>
      <c r="G131" s="112">
        <f t="shared" si="59"/>
        <v>0</v>
      </c>
      <c r="H131" s="121">
        <f t="shared" si="59"/>
        <v>0</v>
      </c>
      <c r="I131" s="122">
        <f t="shared" si="59"/>
        <v>0</v>
      </c>
      <c r="J131" s="122">
        <f t="shared" si="59"/>
        <v>0</v>
      </c>
      <c r="K131" s="122">
        <f t="shared" si="59"/>
        <v>0</v>
      </c>
      <c r="L131" s="112">
        <f t="shared" si="59"/>
        <v>0</v>
      </c>
    </row>
    <row r="132" spans="1:12" x14ac:dyDescent="0.3">
      <c r="B132" s="66"/>
      <c r="C132" s="67"/>
      <c r="D132" s="53"/>
      <c r="E132" s="53"/>
      <c r="F132" s="53"/>
      <c r="G132" s="53"/>
      <c r="H132" s="65"/>
      <c r="I132" s="43"/>
      <c r="J132" s="43"/>
      <c r="K132" s="43"/>
      <c r="L132" s="43"/>
    </row>
    <row r="133" spans="1:12" x14ac:dyDescent="0.3">
      <c r="B133" s="35" t="s">
        <v>85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7"/>
    </row>
    <row r="134" spans="1:12" x14ac:dyDescent="0.3">
      <c r="B134" s="93" t="s">
        <v>34</v>
      </c>
      <c r="C134" s="94"/>
      <c r="D134" s="95"/>
      <c r="E134" s="95"/>
      <c r="F134" s="95"/>
      <c r="G134" s="94"/>
      <c r="H134" s="108"/>
      <c r="I134" s="108"/>
      <c r="J134" s="108"/>
      <c r="K134" s="108"/>
      <c r="L134" s="109"/>
    </row>
    <row r="135" spans="1:12" x14ac:dyDescent="0.3">
      <c r="B135" s="70" t="s">
        <v>5</v>
      </c>
      <c r="C135" s="73">
        <f>C91</f>
        <v>8000</v>
      </c>
      <c r="D135" s="73">
        <f t="shared" ref="D135:L135" si="60">D91</f>
        <v>8887</v>
      </c>
      <c r="E135" s="73">
        <f t="shared" si="60"/>
        <v>10145</v>
      </c>
      <c r="F135" s="73">
        <f t="shared" si="60"/>
        <v>10286</v>
      </c>
      <c r="G135" s="74">
        <f t="shared" si="60"/>
        <v>10679</v>
      </c>
      <c r="H135" s="73">
        <f t="shared" si="60"/>
        <v>11136.100746059727</v>
      </c>
      <c r="I135" s="73">
        <f t="shared" si="60"/>
        <v>11673.654954630174</v>
      </c>
      <c r="J135" s="73">
        <f t="shared" si="60"/>
        <v>12272.174210135399</v>
      </c>
      <c r="K135" s="73">
        <f t="shared" si="60"/>
        <v>12902.724520758205</v>
      </c>
      <c r="L135" s="74">
        <f t="shared" si="60"/>
        <v>13567.047454714362</v>
      </c>
    </row>
    <row r="136" spans="1:12" x14ac:dyDescent="0.3">
      <c r="B136" s="70" t="s">
        <v>35</v>
      </c>
      <c r="C136" s="73">
        <f t="shared" ref="C136:L136" si="61">C84</f>
        <v>1074</v>
      </c>
      <c r="D136" s="73">
        <f t="shared" si="61"/>
        <v>1091</v>
      </c>
      <c r="E136" s="73">
        <f t="shared" si="61"/>
        <v>1137</v>
      </c>
      <c r="F136" s="73">
        <f t="shared" si="61"/>
        <v>1216</v>
      </c>
      <c r="G136" s="74">
        <f t="shared" si="61"/>
        <v>1355</v>
      </c>
      <c r="H136" s="73">
        <f t="shared" si="61"/>
        <v>1514.8299100000004</v>
      </c>
      <c r="I136" s="73">
        <f t="shared" si="61"/>
        <v>1585.4018611000001</v>
      </c>
      <c r="J136" s="73">
        <f t="shared" si="61"/>
        <v>1664.264291989</v>
      </c>
      <c r="K136" s="73">
        <f t="shared" si="61"/>
        <v>1747.2708038685098</v>
      </c>
      <c r="L136" s="74">
        <f t="shared" si="61"/>
        <v>1834.6436583218601</v>
      </c>
    </row>
    <row r="137" spans="1:12" x14ac:dyDescent="0.3">
      <c r="B137" s="70" t="s">
        <v>36</v>
      </c>
      <c r="C137" s="87"/>
      <c r="D137" s="87"/>
      <c r="E137" s="87"/>
      <c r="F137" s="87"/>
      <c r="G137" s="90"/>
      <c r="H137" s="73"/>
      <c r="I137" s="73"/>
      <c r="J137" s="73"/>
      <c r="K137" s="73"/>
      <c r="L137" s="74"/>
    </row>
    <row r="138" spans="1:12" x14ac:dyDescent="0.3">
      <c r="B138" s="70" t="s">
        <v>37</v>
      </c>
      <c r="C138" s="73"/>
      <c r="D138" s="73">
        <f>C102-D102</f>
        <v>-478</v>
      </c>
      <c r="E138" s="73">
        <f t="shared" ref="E138:L138" si="62">D102-E102</f>
        <v>-843</v>
      </c>
      <c r="F138" s="73">
        <f t="shared" si="62"/>
        <v>82</v>
      </c>
      <c r="G138" s="74">
        <f t="shared" si="62"/>
        <v>-822</v>
      </c>
      <c r="H138" s="73">
        <f t="shared" si="62"/>
        <v>210.11397260273907</v>
      </c>
      <c r="I138" s="73">
        <f t="shared" si="62"/>
        <v>-168.1285315068485</v>
      </c>
      <c r="J138" s="73">
        <f t="shared" si="62"/>
        <v>-187.87952564383613</v>
      </c>
      <c r="K138" s="73">
        <f t="shared" si="62"/>
        <v>-197.75226177369768</v>
      </c>
      <c r="L138" s="74">
        <f t="shared" si="62"/>
        <v>-208.15450733377111</v>
      </c>
    </row>
    <row r="139" spans="1:12" x14ac:dyDescent="0.3">
      <c r="B139" s="70" t="s">
        <v>38</v>
      </c>
      <c r="C139" s="73"/>
      <c r="D139" s="73">
        <f>C101-D101</f>
        <v>-517</v>
      </c>
      <c r="E139" s="73">
        <f t="shared" ref="E139:L139" si="63">D101-E101</f>
        <v>-155</v>
      </c>
      <c r="F139" s="73">
        <f t="shared" si="63"/>
        <v>229</v>
      </c>
      <c r="G139" s="74">
        <f t="shared" si="63"/>
        <v>-393</v>
      </c>
      <c r="H139" s="73">
        <f t="shared" si="63"/>
        <v>-5.8853835616446304</v>
      </c>
      <c r="I139" s="73">
        <f t="shared" si="63"/>
        <v>-205.95745109588916</v>
      </c>
      <c r="J139" s="73">
        <f t="shared" si="63"/>
        <v>-230.15241891369897</v>
      </c>
      <c r="K139" s="73">
        <f t="shared" si="63"/>
        <v>-242.24652067278021</v>
      </c>
      <c r="L139" s="74">
        <f t="shared" si="63"/>
        <v>-254.98927148386974</v>
      </c>
    </row>
    <row r="140" spans="1:12" x14ac:dyDescent="0.3">
      <c r="B140" s="70" t="s">
        <v>39</v>
      </c>
      <c r="C140" s="73"/>
      <c r="D140" s="73">
        <f t="shared" ref="D140:L140" si="64">D124-C124</f>
        <v>266</v>
      </c>
      <c r="E140" s="73">
        <f t="shared" si="64"/>
        <v>506</v>
      </c>
      <c r="F140" s="73">
        <f t="shared" si="64"/>
        <v>912</v>
      </c>
      <c r="G140" s="74">
        <f t="shared" si="64"/>
        <v>829</v>
      </c>
      <c r="H140" s="73">
        <f t="shared" si="64"/>
        <v>179.30199726027604</v>
      </c>
      <c r="I140" s="73">
        <f t="shared" si="64"/>
        <v>535.48937284931344</v>
      </c>
      <c r="J140" s="73">
        <f t="shared" si="64"/>
        <v>598.39628917561458</v>
      </c>
      <c r="K140" s="73">
        <f t="shared" si="64"/>
        <v>629.84095374922981</v>
      </c>
      <c r="L140" s="74">
        <f t="shared" si="64"/>
        <v>662.97210585805988</v>
      </c>
    </row>
    <row r="141" spans="1:12" x14ac:dyDescent="0.3">
      <c r="B141" s="70" t="s">
        <v>118</v>
      </c>
      <c r="C141" s="73"/>
      <c r="D141" s="73">
        <f>C104-D104</f>
        <v>-935</v>
      </c>
      <c r="E141" s="73">
        <f t="shared" ref="E141:L141" si="65">D104-E104</f>
        <v>354</v>
      </c>
      <c r="F141" s="73">
        <f t="shared" si="65"/>
        <v>-1756</v>
      </c>
      <c r="G141" s="74">
        <f t="shared" si="65"/>
        <v>483</v>
      </c>
      <c r="H141" s="73">
        <f t="shared" si="65"/>
        <v>-1483</v>
      </c>
      <c r="I141" s="73">
        <f t="shared" si="65"/>
        <v>0</v>
      </c>
      <c r="J141" s="73">
        <f t="shared" si="65"/>
        <v>0</v>
      </c>
      <c r="K141" s="73">
        <f t="shared" si="65"/>
        <v>0</v>
      </c>
      <c r="L141" s="74">
        <f t="shared" si="65"/>
        <v>0</v>
      </c>
    </row>
    <row r="142" spans="1:12" x14ac:dyDescent="0.3">
      <c r="A142" s="68"/>
      <c r="B142" s="132" t="s">
        <v>157</v>
      </c>
      <c r="C142" s="73"/>
      <c r="D142" s="73">
        <f>D125-C125</f>
        <v>-89</v>
      </c>
      <c r="E142" s="73">
        <f t="shared" ref="E142:L142" si="66">E125-D125</f>
        <v>144</v>
      </c>
      <c r="F142" s="73">
        <f t="shared" si="66"/>
        <v>24</v>
      </c>
      <c r="G142" s="74">
        <f t="shared" si="66"/>
        <v>2841</v>
      </c>
      <c r="H142" s="73">
        <f t="shared" si="66"/>
        <v>0</v>
      </c>
      <c r="I142" s="73">
        <f t="shared" si="66"/>
        <v>0</v>
      </c>
      <c r="J142" s="73">
        <f t="shared" si="66"/>
        <v>0</v>
      </c>
      <c r="K142" s="73">
        <f t="shared" si="66"/>
        <v>0</v>
      </c>
      <c r="L142" s="74">
        <f t="shared" si="66"/>
        <v>0</v>
      </c>
    </row>
    <row r="143" spans="1:12" ht="25.5" x14ac:dyDescent="0.3">
      <c r="A143" s="68"/>
      <c r="B143" s="132" t="s">
        <v>154</v>
      </c>
      <c r="C143" s="73"/>
      <c r="D143" s="73">
        <f>D120-C120</f>
        <v>119</v>
      </c>
      <c r="E143" s="73">
        <f t="shared" ref="E143:L143" si="67">E120-D120</f>
        <v>-182</v>
      </c>
      <c r="F143" s="73">
        <f t="shared" si="67"/>
        <v>3506</v>
      </c>
      <c r="G143" s="74">
        <f t="shared" si="67"/>
        <v>-565</v>
      </c>
      <c r="H143" s="73">
        <f t="shared" si="67"/>
        <v>0</v>
      </c>
      <c r="I143" s="73">
        <f t="shared" si="67"/>
        <v>0</v>
      </c>
      <c r="J143" s="73">
        <f t="shared" si="67"/>
        <v>0</v>
      </c>
      <c r="K143" s="73">
        <f t="shared" si="67"/>
        <v>0</v>
      </c>
      <c r="L143" s="74">
        <f t="shared" si="67"/>
        <v>0</v>
      </c>
    </row>
    <row r="144" spans="1:12" x14ac:dyDescent="0.3">
      <c r="B144" s="70" t="s">
        <v>119</v>
      </c>
      <c r="C144" s="73"/>
      <c r="D144" s="73">
        <f>D119-C119</f>
        <v>0</v>
      </c>
      <c r="E144" s="73">
        <f t="shared" ref="E144:L144" si="68">E119-D119</f>
        <v>0</v>
      </c>
      <c r="F144" s="73">
        <f t="shared" si="68"/>
        <v>0</v>
      </c>
      <c r="G144" s="74">
        <f t="shared" si="68"/>
        <v>0</v>
      </c>
      <c r="H144" s="73">
        <f t="shared" si="68"/>
        <v>0</v>
      </c>
      <c r="I144" s="73">
        <f t="shared" si="68"/>
        <v>0</v>
      </c>
      <c r="J144" s="73">
        <f t="shared" si="68"/>
        <v>0</v>
      </c>
      <c r="K144" s="73">
        <f t="shared" si="68"/>
        <v>0</v>
      </c>
      <c r="L144" s="74">
        <f t="shared" si="68"/>
        <v>0</v>
      </c>
    </row>
    <row r="145" spans="1:12" x14ac:dyDescent="0.3">
      <c r="B145" s="70" t="s">
        <v>120</v>
      </c>
      <c r="C145" s="73"/>
      <c r="D145" s="73">
        <f>D112-C112</f>
        <v>6</v>
      </c>
      <c r="E145" s="73">
        <f>E112-D112</f>
        <v>192</v>
      </c>
      <c r="F145" s="73">
        <f>F112-E112</f>
        <v>-13</v>
      </c>
      <c r="G145" s="74">
        <f>G112-F112</f>
        <v>2</v>
      </c>
      <c r="H145" s="73">
        <f>H112-G112</f>
        <v>3</v>
      </c>
      <c r="I145" s="73">
        <f>I112-H112</f>
        <v>0</v>
      </c>
      <c r="J145" s="73">
        <f>J112-I112</f>
        <v>0</v>
      </c>
      <c r="K145" s="73">
        <f>K112-J112</f>
        <v>0</v>
      </c>
      <c r="L145" s="74">
        <f>L112-K112</f>
        <v>0</v>
      </c>
    </row>
    <row r="146" spans="1:12" x14ac:dyDescent="0.3">
      <c r="B146" s="82" t="s">
        <v>40</v>
      </c>
      <c r="C146" s="91">
        <f>SUM(C135:C145)</f>
        <v>9074</v>
      </c>
      <c r="D146" s="91">
        <f>SUM(D135:D145)</f>
        <v>8350</v>
      </c>
      <c r="E146" s="91">
        <f>SUM(E135:E145)</f>
        <v>11298</v>
      </c>
      <c r="F146" s="91">
        <f>SUM(F135:F145)</f>
        <v>14486</v>
      </c>
      <c r="G146" s="92">
        <f>SUM(G135:G145)</f>
        <v>14409</v>
      </c>
      <c r="H146" s="91">
        <f>SUM(H135:H145)</f>
        <v>11554.461242361098</v>
      </c>
      <c r="I146" s="91">
        <f>SUM(I135:I145)</f>
        <v>13420.460205976751</v>
      </c>
      <c r="J146" s="91">
        <f>SUM(J135:J145)</f>
        <v>14116.802846742479</v>
      </c>
      <c r="K146" s="91">
        <f>SUM(K135:K145)</f>
        <v>14839.837495929467</v>
      </c>
      <c r="L146" s="92">
        <f>SUM(L135:L145)</f>
        <v>15601.519440076641</v>
      </c>
    </row>
    <row r="147" spans="1:12" x14ac:dyDescent="0.3">
      <c r="B147" s="93" t="s">
        <v>41</v>
      </c>
      <c r="C147" s="108"/>
      <c r="D147" s="108"/>
      <c r="E147" s="108"/>
      <c r="F147" s="108"/>
      <c r="G147" s="108"/>
      <c r="H147" s="108"/>
      <c r="I147" s="108"/>
      <c r="J147" s="108"/>
      <c r="K147" s="108"/>
      <c r="L147" s="109"/>
    </row>
    <row r="148" spans="1:12" x14ac:dyDescent="0.3">
      <c r="B148" s="70" t="s">
        <v>42</v>
      </c>
      <c r="C148" s="71">
        <v>-741</v>
      </c>
      <c r="D148" s="71">
        <v>-1225</v>
      </c>
      <c r="E148" s="71">
        <v>-1174</v>
      </c>
      <c r="F148" s="71">
        <v>-1468</v>
      </c>
      <c r="G148" s="72">
        <v>-1254</v>
      </c>
      <c r="H148" s="73">
        <f>-H13*H43</f>
        <v>-1975.8651000000002</v>
      </c>
      <c r="I148" s="73">
        <f>-I13*I43</f>
        <v>-2067.9154710000003</v>
      </c>
      <c r="J148" s="73">
        <f>-J13*J43</f>
        <v>-2170.7795112899998</v>
      </c>
      <c r="K148" s="73">
        <f>-K13*K43</f>
        <v>-2279.0488746111</v>
      </c>
      <c r="L148" s="74">
        <f>-L13*L43</f>
        <v>-2393.0134673763391</v>
      </c>
    </row>
    <row r="149" spans="1:12" x14ac:dyDescent="0.3">
      <c r="A149" s="68"/>
      <c r="B149" s="133" t="s">
        <v>155</v>
      </c>
      <c r="C149" s="73"/>
      <c r="D149" s="73">
        <f>C98-D98</f>
        <v>143</v>
      </c>
      <c r="E149" s="73">
        <f t="shared" ref="E149:L149" si="69">D98-E98</f>
        <v>-70</v>
      </c>
      <c r="F149" s="73">
        <f t="shared" si="69"/>
        <v>-127</v>
      </c>
      <c r="G149" s="74">
        <f t="shared" si="69"/>
        <v>-79</v>
      </c>
      <c r="H149" s="73">
        <f t="shared" si="69"/>
        <v>0</v>
      </c>
      <c r="I149" s="73">
        <f t="shared" si="69"/>
        <v>0</v>
      </c>
      <c r="J149" s="73">
        <f t="shared" si="69"/>
        <v>0</v>
      </c>
      <c r="K149" s="73">
        <f t="shared" si="69"/>
        <v>0</v>
      </c>
      <c r="L149" s="74">
        <f t="shared" si="69"/>
        <v>0</v>
      </c>
    </row>
    <row r="150" spans="1:12" x14ac:dyDescent="0.3">
      <c r="A150" s="68"/>
      <c r="B150" s="134" t="s">
        <v>169</v>
      </c>
      <c r="C150" s="73"/>
      <c r="D150" s="73">
        <f>C97-D97</f>
        <v>23</v>
      </c>
      <c r="E150" s="73">
        <f t="shared" ref="E150:L150" si="70">D97-E97</f>
        <v>-425</v>
      </c>
      <c r="F150" s="73">
        <f t="shared" si="70"/>
        <v>16</v>
      </c>
      <c r="G150" s="112">
        <f t="shared" si="70"/>
        <v>3</v>
      </c>
      <c r="H150" s="73">
        <f t="shared" si="70"/>
        <v>0</v>
      </c>
      <c r="I150" s="73">
        <f t="shared" si="70"/>
        <v>0</v>
      </c>
      <c r="J150" s="73">
        <f t="shared" si="70"/>
        <v>0</v>
      </c>
      <c r="K150" s="73">
        <f t="shared" si="70"/>
        <v>0</v>
      </c>
      <c r="L150" s="74">
        <f t="shared" si="70"/>
        <v>0</v>
      </c>
    </row>
    <row r="151" spans="1:12" x14ac:dyDescent="0.3">
      <c r="B151" s="126" t="s">
        <v>43</v>
      </c>
      <c r="C151" s="127">
        <f>SUM(C148:C149)</f>
        <v>-741</v>
      </c>
      <c r="D151" s="127">
        <f t="shared" ref="D151:L151" si="71">SUM(D148:D149)</f>
        <v>-1082</v>
      </c>
      <c r="E151" s="127">
        <f t="shared" si="71"/>
        <v>-1244</v>
      </c>
      <c r="F151" s="127">
        <f t="shared" si="71"/>
        <v>-1595</v>
      </c>
      <c r="G151" s="128">
        <f t="shared" si="71"/>
        <v>-1333</v>
      </c>
      <c r="H151" s="127">
        <f t="shared" si="71"/>
        <v>-1975.8651000000002</v>
      </c>
      <c r="I151" s="127">
        <f t="shared" si="71"/>
        <v>-2067.9154710000003</v>
      </c>
      <c r="J151" s="127">
        <f t="shared" si="71"/>
        <v>-2170.7795112899998</v>
      </c>
      <c r="K151" s="127">
        <f t="shared" si="71"/>
        <v>-2279.0488746111</v>
      </c>
      <c r="L151" s="128">
        <f t="shared" si="71"/>
        <v>-2393.0134673763391</v>
      </c>
    </row>
    <row r="152" spans="1:12" x14ac:dyDescent="0.3">
      <c r="B152" s="93" t="s">
        <v>44</v>
      </c>
      <c r="C152" s="108"/>
      <c r="D152" s="108"/>
      <c r="E152" s="108"/>
      <c r="F152" s="108"/>
      <c r="G152" s="108"/>
      <c r="H152" s="108"/>
      <c r="I152" s="108"/>
      <c r="J152" s="108"/>
      <c r="K152" s="108"/>
      <c r="L152" s="109"/>
    </row>
    <row r="153" spans="1:12" x14ac:dyDescent="0.3">
      <c r="B153" s="70" t="s">
        <v>45</v>
      </c>
      <c r="C153" s="71">
        <v>0</v>
      </c>
      <c r="D153" s="73">
        <f t="shared" ref="D153:L153" si="72">D123-C123</f>
        <v>0</v>
      </c>
      <c r="E153" s="73">
        <f t="shared" si="72"/>
        <v>98</v>
      </c>
      <c r="F153" s="73">
        <f t="shared" si="72"/>
        <v>-85</v>
      </c>
      <c r="G153" s="74">
        <f t="shared" si="72"/>
        <v>-12</v>
      </c>
      <c r="H153" s="73">
        <f t="shared" si="72"/>
        <v>-1</v>
      </c>
      <c r="I153" s="73">
        <f t="shared" si="72"/>
        <v>0</v>
      </c>
      <c r="J153" s="73">
        <f t="shared" si="72"/>
        <v>0</v>
      </c>
      <c r="K153" s="73">
        <f t="shared" si="72"/>
        <v>0</v>
      </c>
      <c r="L153" s="74">
        <f t="shared" si="72"/>
        <v>0</v>
      </c>
    </row>
    <row r="154" spans="1:12" x14ac:dyDescent="0.3">
      <c r="B154" s="133" t="s">
        <v>156</v>
      </c>
      <c r="C154" s="71"/>
      <c r="D154" s="73">
        <f>D118-C118</f>
        <v>71</v>
      </c>
      <c r="E154" s="73">
        <f t="shared" ref="E154:L154" si="73">E118-D118</f>
        <v>569</v>
      </c>
      <c r="F154" s="73">
        <f t="shared" si="73"/>
        <v>154</v>
      </c>
      <c r="G154" s="74">
        <f t="shared" si="73"/>
        <v>102</v>
      </c>
      <c r="H154" s="73">
        <f t="shared" si="73"/>
        <v>144.22499999999991</v>
      </c>
      <c r="I154" s="73">
        <f t="shared" si="73"/>
        <v>165.37800000000016</v>
      </c>
      <c r="J154" s="73">
        <f t="shared" si="73"/>
        <v>189.77125500000011</v>
      </c>
      <c r="K154" s="73">
        <f t="shared" si="73"/>
        <v>218.0136829500002</v>
      </c>
      <c r="L154" s="74">
        <f t="shared" si="73"/>
        <v>250.83685410525004</v>
      </c>
    </row>
    <row r="155" spans="1:12" x14ac:dyDescent="0.3">
      <c r="B155" s="70" t="s">
        <v>105</v>
      </c>
      <c r="C155" s="73">
        <f>-C71</f>
        <v>-7285</v>
      </c>
      <c r="D155" s="73">
        <f>-D71</f>
        <v>-7990</v>
      </c>
      <c r="E155" s="73">
        <f>-E71</f>
        <v>-9165</v>
      </c>
      <c r="F155" s="73">
        <f>-F71</f>
        <v>-9870</v>
      </c>
      <c r="G155" s="74">
        <f>-G71</f>
        <v>-12455</v>
      </c>
      <c r="H155" s="73">
        <f>-H71</f>
        <v>-9400</v>
      </c>
      <c r="I155" s="73">
        <f>-I71</f>
        <v>-9400</v>
      </c>
      <c r="J155" s="73">
        <f>-J71</f>
        <v>-9400</v>
      </c>
      <c r="K155" s="73">
        <f>-K71</f>
        <v>-9400</v>
      </c>
      <c r="L155" s="74">
        <f>-L71</f>
        <v>-9400</v>
      </c>
    </row>
    <row r="156" spans="1:12" x14ac:dyDescent="0.3">
      <c r="B156" s="126" t="s">
        <v>46</v>
      </c>
      <c r="C156" s="127">
        <f>SUM(C153:C155)</f>
        <v>-7285</v>
      </c>
      <c r="D156" s="127">
        <f t="shared" ref="D156:L156" si="74">SUM(D153:D155)</f>
        <v>-7919</v>
      </c>
      <c r="E156" s="127">
        <f t="shared" si="74"/>
        <v>-8498</v>
      </c>
      <c r="F156" s="127">
        <f t="shared" si="74"/>
        <v>-9801</v>
      </c>
      <c r="G156" s="129">
        <f t="shared" si="74"/>
        <v>-12365</v>
      </c>
      <c r="H156" s="127">
        <f t="shared" si="74"/>
        <v>-9256.7749999999996</v>
      </c>
      <c r="I156" s="127">
        <f t="shared" si="74"/>
        <v>-9234.6219999999994</v>
      </c>
      <c r="J156" s="127">
        <f t="shared" si="74"/>
        <v>-9210.2287450000003</v>
      </c>
      <c r="K156" s="127">
        <f t="shared" si="74"/>
        <v>-9181.9863170499993</v>
      </c>
      <c r="L156" s="129">
        <f t="shared" si="74"/>
        <v>-9149.1631458947504</v>
      </c>
    </row>
    <row r="157" spans="1:12" x14ac:dyDescent="0.3">
      <c r="B157" s="82" t="s">
        <v>47</v>
      </c>
      <c r="C157" s="127">
        <f t="shared" ref="C157:L157" si="75">C156+C151+C146</f>
        <v>1048</v>
      </c>
      <c r="D157" s="127">
        <f t="shared" si="75"/>
        <v>-651</v>
      </c>
      <c r="E157" s="127">
        <f t="shared" si="75"/>
        <v>1556</v>
      </c>
      <c r="F157" s="127">
        <f t="shared" si="75"/>
        <v>3090</v>
      </c>
      <c r="G157" s="128">
        <f t="shared" si="75"/>
        <v>711</v>
      </c>
      <c r="H157" s="127">
        <f t="shared" si="75"/>
        <v>321.82114236109737</v>
      </c>
      <c r="I157" s="127">
        <f t="shared" si="75"/>
        <v>2117.9227349767516</v>
      </c>
      <c r="J157" s="127">
        <f t="shared" si="75"/>
        <v>2735.7945904524786</v>
      </c>
      <c r="K157" s="127">
        <f t="shared" si="75"/>
        <v>3378.8023042683672</v>
      </c>
      <c r="L157" s="128">
        <f t="shared" si="75"/>
        <v>4059.3428268055522</v>
      </c>
    </row>
    <row r="158" spans="1:12" x14ac:dyDescent="0.3">
      <c r="B158" s="70" t="s">
        <v>48</v>
      </c>
      <c r="C158" s="71">
        <v>3317</v>
      </c>
      <c r="D158" s="73">
        <f t="shared" ref="D158:L158" si="76">C103</f>
        <v>4471</v>
      </c>
      <c r="E158" s="73">
        <f t="shared" si="76"/>
        <v>3846</v>
      </c>
      <c r="F158" s="73">
        <f t="shared" si="76"/>
        <v>4678</v>
      </c>
      <c r="G158" s="74">
        <f t="shared" si="76"/>
        <v>7559</v>
      </c>
      <c r="H158" s="73">
        <f t="shared" si="76"/>
        <v>7554</v>
      </c>
      <c r="I158" s="73">
        <f t="shared" si="76"/>
        <v>7875.8211423610974</v>
      </c>
      <c r="J158" s="73">
        <f t="shared" si="76"/>
        <v>9993.743877337849</v>
      </c>
      <c r="K158" s="73">
        <f t="shared" si="76"/>
        <v>12729.538467790328</v>
      </c>
      <c r="L158" s="74">
        <f t="shared" si="76"/>
        <v>16108.340772058695</v>
      </c>
    </row>
    <row r="159" spans="1:12" ht="14.5" thickBot="1" x14ac:dyDescent="0.35">
      <c r="B159" s="102" t="s">
        <v>49</v>
      </c>
      <c r="C159" s="130">
        <f>C157+C158</f>
        <v>4365</v>
      </c>
      <c r="D159" s="130">
        <f t="shared" ref="D159:L159" si="77">D157+D158</f>
        <v>3820</v>
      </c>
      <c r="E159" s="130">
        <f t="shared" si="77"/>
        <v>5402</v>
      </c>
      <c r="F159" s="130">
        <f t="shared" si="77"/>
        <v>7768</v>
      </c>
      <c r="G159" s="131">
        <f t="shared" si="77"/>
        <v>8270</v>
      </c>
      <c r="H159" s="130">
        <f t="shared" si="77"/>
        <v>7875.8211423610974</v>
      </c>
      <c r="I159" s="130">
        <f t="shared" si="77"/>
        <v>9993.743877337849</v>
      </c>
      <c r="J159" s="130">
        <f t="shared" si="77"/>
        <v>12729.538467790328</v>
      </c>
      <c r="K159" s="130">
        <f t="shared" si="77"/>
        <v>16108.340772058695</v>
      </c>
      <c r="L159" s="131">
        <f t="shared" si="77"/>
        <v>20167.683598864249</v>
      </c>
    </row>
    <row r="160" spans="1:12" ht="14.5" thickTop="1" x14ac:dyDescent="0.3">
      <c r="B160" s="69"/>
      <c r="C160" s="64"/>
      <c r="D160" s="64"/>
      <c r="E160" s="64"/>
      <c r="F160" s="64"/>
      <c r="G160" s="53"/>
      <c r="H160" s="63"/>
      <c r="I160" s="63"/>
      <c r="J160" s="43"/>
      <c r="K160" s="63"/>
      <c r="L160" s="63"/>
    </row>
  </sheetData>
  <mergeCells count="6">
    <mergeCell ref="B74:L74"/>
    <mergeCell ref="B93:L93"/>
    <mergeCell ref="B133:L133"/>
    <mergeCell ref="C1:G1"/>
    <mergeCell ref="H1:L1"/>
    <mergeCell ref="B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5289-B28C-48A9-90A7-AACC6E0EA1C1}">
  <dimension ref="B1:L49"/>
  <sheetViews>
    <sheetView showGridLines="0" workbookViewId="0"/>
  </sheetViews>
  <sheetFormatPr defaultRowHeight="14" x14ac:dyDescent="0.3"/>
  <cols>
    <col min="1" max="1" width="2.6328125" style="1" customWidth="1"/>
    <col min="2" max="2" width="45.6328125" style="1" customWidth="1"/>
    <col min="3" max="12" width="11.81640625" style="1" customWidth="1"/>
    <col min="13" max="16384" width="8.7265625" style="1"/>
  </cols>
  <sheetData>
    <row r="1" spans="2:12" x14ac:dyDescent="0.3">
      <c r="B1" s="24"/>
      <c r="C1" s="25" t="s">
        <v>0</v>
      </c>
      <c r="D1" s="26"/>
      <c r="E1" s="26"/>
      <c r="F1" s="26"/>
      <c r="G1" s="27"/>
      <c r="H1" s="28" t="s">
        <v>86</v>
      </c>
      <c r="I1" s="13"/>
      <c r="J1" s="13"/>
      <c r="K1" s="13"/>
      <c r="L1" s="29"/>
    </row>
    <row r="2" spans="2:12" x14ac:dyDescent="0.3">
      <c r="B2" s="31" t="s">
        <v>1</v>
      </c>
      <c r="C2" s="32">
        <v>2021</v>
      </c>
      <c r="D2" s="32">
        <v>2022</v>
      </c>
      <c r="E2" s="32">
        <v>2023</v>
      </c>
      <c r="F2" s="32">
        <v>2024</v>
      </c>
      <c r="G2" s="32">
        <v>2025</v>
      </c>
      <c r="H2" s="33">
        <v>2026</v>
      </c>
      <c r="I2" s="32">
        <v>2027</v>
      </c>
      <c r="J2" s="32">
        <v>2028</v>
      </c>
      <c r="K2" s="32">
        <v>2029</v>
      </c>
      <c r="L2" s="34">
        <v>2030</v>
      </c>
    </row>
    <row r="3" spans="2:12" x14ac:dyDescent="0.3">
      <c r="B3" s="137" t="s">
        <v>4</v>
      </c>
      <c r="C3" s="138"/>
      <c r="D3" s="138"/>
      <c r="E3" s="138"/>
      <c r="F3" s="138"/>
      <c r="G3" s="138"/>
      <c r="H3" s="139">
        <f>'3 Statement Model'!H85</f>
        <v>14272.66623632178</v>
      </c>
      <c r="I3" s="140">
        <f>'3 Statement Model'!I85</f>
        <v>14937.592309570704</v>
      </c>
      <c r="J3" s="140">
        <f>'3 Statement Model'!J85</f>
        <v>15680.63094858443</v>
      </c>
      <c r="K3" s="140">
        <f>'3 Statement Model'!K85</f>
        <v>16462.714951333968</v>
      </c>
      <c r="L3" s="141">
        <f>'3 Statement Model'!L85</f>
        <v>17285.938457481527</v>
      </c>
    </row>
    <row r="4" spans="2:12" x14ac:dyDescent="0.3">
      <c r="B4" s="124" t="s">
        <v>121</v>
      </c>
      <c r="C4" s="138"/>
      <c r="D4" s="138"/>
      <c r="E4" s="138"/>
      <c r="F4" s="138"/>
      <c r="G4" s="138"/>
      <c r="H4" s="142">
        <f>H3*'3 Statement Model'!H46</f>
        <v>3639.5298902620539</v>
      </c>
      <c r="I4" s="143">
        <f>I3*'3 Statement Model'!I46</f>
        <v>3809.0860389405298</v>
      </c>
      <c r="J4" s="143">
        <f>J3*'3 Statement Model'!J46</f>
        <v>3998.5608918890298</v>
      </c>
      <c r="K4" s="143">
        <f>K3*'3 Statement Model'!K46</f>
        <v>4197.9923125901623</v>
      </c>
      <c r="L4" s="144">
        <f>L3*'3 Statement Model'!L46</f>
        <v>4407.914306657789</v>
      </c>
    </row>
    <row r="5" spans="2:12" x14ac:dyDescent="0.3">
      <c r="B5" s="124" t="s">
        <v>122</v>
      </c>
      <c r="C5" s="138"/>
      <c r="D5" s="138"/>
      <c r="E5" s="138"/>
      <c r="F5" s="138"/>
      <c r="G5" s="138"/>
      <c r="H5" s="142">
        <f>H3-H4</f>
        <v>10633.136346059726</v>
      </c>
      <c r="I5" s="143">
        <f t="shared" ref="I5:L5" si="0">I3-I4</f>
        <v>11128.506270630174</v>
      </c>
      <c r="J5" s="143">
        <f t="shared" si="0"/>
        <v>11682.0700566954</v>
      </c>
      <c r="K5" s="143">
        <f t="shared" si="0"/>
        <v>12264.722638743806</v>
      </c>
      <c r="L5" s="144">
        <f t="shared" si="0"/>
        <v>12878.024150823738</v>
      </c>
    </row>
    <row r="6" spans="2:12" x14ac:dyDescent="0.3">
      <c r="B6" s="124" t="s">
        <v>35</v>
      </c>
      <c r="C6" s="138"/>
      <c r="D6" s="138"/>
      <c r="E6" s="138"/>
      <c r="F6" s="138"/>
      <c r="G6" s="138"/>
      <c r="H6" s="145">
        <f>'3 Statement Model'!H84</f>
        <v>1514.8299100000004</v>
      </c>
      <c r="I6" s="140">
        <f>'3 Statement Model'!I84</f>
        <v>1585.4018611000001</v>
      </c>
      <c r="J6" s="140">
        <f>'3 Statement Model'!J84</f>
        <v>1664.264291989</v>
      </c>
      <c r="K6" s="140">
        <f>'3 Statement Model'!K84</f>
        <v>1747.2708038685098</v>
      </c>
      <c r="L6" s="146">
        <f>'3 Statement Model'!L84</f>
        <v>1834.6436583218601</v>
      </c>
    </row>
    <row r="7" spans="2:12" x14ac:dyDescent="0.3">
      <c r="B7" s="124" t="s">
        <v>123</v>
      </c>
      <c r="C7" s="138"/>
      <c r="D7" s="138"/>
      <c r="E7" s="138"/>
      <c r="F7" s="138"/>
      <c r="G7" s="138"/>
      <c r="H7" s="145">
        <f>-'3 Statement Model'!H148</f>
        <v>1975.8651000000002</v>
      </c>
      <c r="I7" s="140">
        <f>-'3 Statement Model'!I148</f>
        <v>2067.9154710000003</v>
      </c>
      <c r="J7" s="140">
        <f>-'3 Statement Model'!J148</f>
        <v>2170.7795112899998</v>
      </c>
      <c r="K7" s="140">
        <f>-'3 Statement Model'!K148</f>
        <v>2279.0488746111</v>
      </c>
      <c r="L7" s="146">
        <f>-'3 Statement Model'!L148</f>
        <v>2393.0134673763391</v>
      </c>
    </row>
    <row r="8" spans="2:12" x14ac:dyDescent="0.3">
      <c r="B8" s="124" t="s">
        <v>124</v>
      </c>
      <c r="C8" s="138"/>
      <c r="D8" s="138"/>
      <c r="E8" s="138"/>
      <c r="F8" s="138"/>
      <c r="G8" s="138"/>
      <c r="H8" s="145">
        <f>SUM('3 Statement Model'!H138:H141)</f>
        <v>-1099.4694136986295</v>
      </c>
      <c r="I8" s="140">
        <f>SUM('3 Statement Model'!I138:I141)</f>
        <v>161.40339024657578</v>
      </c>
      <c r="J8" s="140">
        <f>SUM('3 Statement Model'!J138:J141)</f>
        <v>180.36434461807949</v>
      </c>
      <c r="K8" s="140">
        <f>SUM('3 Statement Model'!K138:K141)</f>
        <v>189.84217130275192</v>
      </c>
      <c r="L8" s="146">
        <f>SUM('3 Statement Model'!L138:L141)</f>
        <v>199.82832704041903</v>
      </c>
    </row>
    <row r="9" spans="2:12" x14ac:dyDescent="0.3">
      <c r="B9" s="137" t="s">
        <v>125</v>
      </c>
      <c r="C9" s="147"/>
      <c r="D9" s="147"/>
      <c r="E9" s="147"/>
      <c r="F9" s="147"/>
      <c r="G9" s="147"/>
      <c r="H9" s="148">
        <f>H5+H6-H7+H8</f>
        <v>9072.6317423610963</v>
      </c>
      <c r="I9" s="149">
        <f t="shared" ref="I9:L9" si="1">I5+I6-I7+I8</f>
        <v>10807.396050976751</v>
      </c>
      <c r="J9" s="149">
        <f t="shared" si="1"/>
        <v>11355.91918201248</v>
      </c>
      <c r="K9" s="149">
        <f t="shared" si="1"/>
        <v>11922.786739303967</v>
      </c>
      <c r="L9" s="150">
        <f t="shared" si="1"/>
        <v>12519.482668809678</v>
      </c>
    </row>
    <row r="10" spans="2:12" x14ac:dyDescent="0.3">
      <c r="B10" s="124" t="s">
        <v>126</v>
      </c>
      <c r="C10" s="138"/>
      <c r="D10" s="138"/>
      <c r="E10" s="138"/>
      <c r="F10" s="138"/>
      <c r="G10" s="138"/>
      <c r="H10" s="151">
        <v>0.5</v>
      </c>
      <c r="I10" s="152">
        <v>1.5</v>
      </c>
      <c r="J10" s="152">
        <v>2.5</v>
      </c>
      <c r="K10" s="152">
        <v>3.5</v>
      </c>
      <c r="L10" s="153">
        <v>4.5</v>
      </c>
    </row>
    <row r="11" spans="2:12" x14ac:dyDescent="0.3">
      <c r="B11" s="124" t="s">
        <v>127</v>
      </c>
      <c r="C11" s="138"/>
      <c r="D11" s="138"/>
      <c r="E11" s="138"/>
      <c r="F11" s="138"/>
      <c r="G11" s="138"/>
      <c r="H11" s="154">
        <f>1/(1+$C$24)^H10</f>
        <v>0.95346258924559224</v>
      </c>
      <c r="I11" s="155">
        <f t="shared" ref="I11:L11" si="2">1/(1+$C$24)^I10</f>
        <v>0.86678417204144742</v>
      </c>
      <c r="J11" s="155">
        <f t="shared" si="2"/>
        <v>0.78798561094677033</v>
      </c>
      <c r="K11" s="155">
        <f t="shared" si="2"/>
        <v>0.71635055540615489</v>
      </c>
      <c r="L11" s="156">
        <f t="shared" si="2"/>
        <v>0.65122777764195883</v>
      </c>
    </row>
    <row r="12" spans="2:12" x14ac:dyDescent="0.3">
      <c r="B12" s="157" t="s">
        <v>128</v>
      </c>
      <c r="C12" s="158"/>
      <c r="D12" s="158"/>
      <c r="E12" s="158"/>
      <c r="F12" s="158"/>
      <c r="G12" s="158"/>
      <c r="H12" s="159">
        <f>H9*H11</f>
        <v>8650.4149523433589</v>
      </c>
      <c r="I12" s="160">
        <f>I9*I11</f>
        <v>9367.6798379698921</v>
      </c>
      <c r="J12" s="160">
        <f>J9*J11</f>
        <v>8948.3009145002525</v>
      </c>
      <c r="K12" s="160">
        <f>K9*K11</f>
        <v>8540.8949026895352</v>
      </c>
      <c r="L12" s="161">
        <f>L9*L11</f>
        <v>8153.0348756359463</v>
      </c>
    </row>
    <row r="14" spans="2:12" x14ac:dyDescent="0.3">
      <c r="B14" s="137" t="s">
        <v>129</v>
      </c>
      <c r="C14" s="162">
        <v>7.0000000000000007E-2</v>
      </c>
    </row>
    <row r="15" spans="2:12" x14ac:dyDescent="0.3">
      <c r="B15" s="124" t="s">
        <v>130</v>
      </c>
      <c r="C15" s="163">
        <v>0.06</v>
      </c>
    </row>
    <row r="16" spans="2:12" x14ac:dyDescent="0.3">
      <c r="B16" s="124" t="s">
        <v>131</v>
      </c>
      <c r="C16" s="164">
        <v>0.5</v>
      </c>
    </row>
    <row r="17" spans="2:3" x14ac:dyDescent="0.3">
      <c r="B17" s="124" t="s">
        <v>152</v>
      </c>
      <c r="C17" s="153">
        <v>490000</v>
      </c>
    </row>
    <row r="18" spans="2:3" x14ac:dyDescent="0.3">
      <c r="B18" s="124" t="s">
        <v>132</v>
      </c>
      <c r="C18" s="165">
        <f>C14+(C16*C15)</f>
        <v>0.1</v>
      </c>
    </row>
    <row r="19" spans="2:3" x14ac:dyDescent="0.3">
      <c r="B19" s="124" t="s">
        <v>133</v>
      </c>
      <c r="C19" s="165">
        <v>7.4999999999999997E-2</v>
      </c>
    </row>
    <row r="20" spans="2:3" x14ac:dyDescent="0.3">
      <c r="B20" s="124" t="s">
        <v>134</v>
      </c>
      <c r="C20" s="165">
        <v>0.255</v>
      </c>
    </row>
    <row r="21" spans="2:3" x14ac:dyDescent="0.3">
      <c r="B21" s="124" t="s">
        <v>135</v>
      </c>
      <c r="C21" s="165">
        <f>C19*(1-C20)</f>
        <v>5.5875000000000001E-2</v>
      </c>
    </row>
    <row r="22" spans="2:3" x14ac:dyDescent="0.3">
      <c r="B22" s="124" t="s">
        <v>136</v>
      </c>
      <c r="C22" s="153">
        <v>1</v>
      </c>
    </row>
    <row r="23" spans="2:3" x14ac:dyDescent="0.3">
      <c r="B23" s="124" t="s">
        <v>137</v>
      </c>
      <c r="C23" s="153">
        <v>0</v>
      </c>
    </row>
    <row r="24" spans="2:3" x14ac:dyDescent="0.3">
      <c r="B24" s="124" t="s">
        <v>138</v>
      </c>
      <c r="C24" s="166">
        <f>(C22*C18)+(C23*C21)</f>
        <v>0.1</v>
      </c>
    </row>
    <row r="25" spans="2:3" x14ac:dyDescent="0.3">
      <c r="B25" s="124"/>
      <c r="C25" s="123"/>
    </row>
    <row r="26" spans="2:3" x14ac:dyDescent="0.3">
      <c r="B26" s="124" t="s">
        <v>139</v>
      </c>
      <c r="C26" s="144">
        <f>SUM(H12:L12)</f>
        <v>43660.325483138986</v>
      </c>
    </row>
    <row r="27" spans="2:3" x14ac:dyDescent="0.3">
      <c r="B27" s="124" t="s">
        <v>140</v>
      </c>
      <c r="C27" s="167">
        <v>0.05</v>
      </c>
    </row>
    <row r="28" spans="2:3" x14ac:dyDescent="0.3">
      <c r="B28" s="124" t="s">
        <v>141</v>
      </c>
      <c r="C28" s="144">
        <f>L9*(1+C27)/(C24-C27)</f>
        <v>262909.13604500325</v>
      </c>
    </row>
    <row r="29" spans="2:3" x14ac:dyDescent="0.3">
      <c r="B29" s="124" t="s">
        <v>142</v>
      </c>
      <c r="C29" s="144">
        <f>C28/'3 Statement Model'!L83</f>
        <v>13.750059200745032</v>
      </c>
    </row>
    <row r="30" spans="2:3" x14ac:dyDescent="0.3">
      <c r="B30" s="124" t="s">
        <v>143</v>
      </c>
      <c r="C30" s="144">
        <f>C28/(1+C24)^L10</f>
        <v>171213.7323883549</v>
      </c>
    </row>
    <row r="31" spans="2:3" x14ac:dyDescent="0.3">
      <c r="B31" s="124" t="s">
        <v>144</v>
      </c>
      <c r="C31" s="144">
        <f>C30+C26</f>
        <v>214874.05787149389</v>
      </c>
    </row>
    <row r="32" spans="2:3" x14ac:dyDescent="0.3">
      <c r="B32" s="124" t="s">
        <v>145</v>
      </c>
      <c r="C32" s="168">
        <f>'3 Statement Model'!G117+'3 Statement Model'!G118+'3 Statement Model'!G123</f>
        <v>1924</v>
      </c>
    </row>
    <row r="33" spans="2:12" x14ac:dyDescent="0.3">
      <c r="B33" s="124" t="s">
        <v>146</v>
      </c>
      <c r="C33" s="146">
        <f>'3 Statement Model'!G103</f>
        <v>7554</v>
      </c>
    </row>
    <row r="34" spans="2:12" x14ac:dyDescent="0.3">
      <c r="B34" s="124" t="s">
        <v>147</v>
      </c>
      <c r="C34" s="144">
        <f>C31-C32+C33</f>
        <v>220504.05787149389</v>
      </c>
    </row>
    <row r="35" spans="2:12" x14ac:dyDescent="0.3">
      <c r="B35" s="124" t="s">
        <v>148</v>
      </c>
      <c r="C35" s="153">
        <v>235</v>
      </c>
    </row>
    <row r="36" spans="2:12" x14ac:dyDescent="0.3">
      <c r="B36" s="124" t="s">
        <v>149</v>
      </c>
      <c r="C36" s="144">
        <f>(C34/C35)</f>
        <v>938.31513987869744</v>
      </c>
    </row>
    <row r="37" spans="2:12" x14ac:dyDescent="0.3">
      <c r="B37" s="124" t="s">
        <v>150</v>
      </c>
      <c r="C37" s="153">
        <v>2346</v>
      </c>
    </row>
    <row r="38" spans="2:12" x14ac:dyDescent="0.3">
      <c r="B38" s="125" t="s">
        <v>151</v>
      </c>
      <c r="C38" s="169">
        <f>(C36-C37)/C37</f>
        <v>-0.60003617225971972</v>
      </c>
    </row>
    <row r="41" spans="2:12" x14ac:dyDescent="0.3">
      <c r="B41" s="135" t="s">
        <v>178</v>
      </c>
      <c r="C41" s="135"/>
      <c r="D41" s="135"/>
      <c r="E41" s="135"/>
      <c r="F41" s="135"/>
      <c r="G41" s="135"/>
      <c r="H41" s="135"/>
      <c r="I41" s="135"/>
      <c r="J41" s="135"/>
      <c r="K41" s="135"/>
      <c r="L41" s="135"/>
    </row>
    <row r="42" spans="2:12" x14ac:dyDescent="0.3">
      <c r="B42" s="136"/>
      <c r="C42" s="170">
        <f>C36</f>
        <v>938.31513987869744</v>
      </c>
      <c r="D42" s="171">
        <v>0.04</v>
      </c>
      <c r="E42" s="171">
        <v>4.4999999999999998E-2</v>
      </c>
      <c r="F42" s="171">
        <v>0.05</v>
      </c>
      <c r="G42" s="171">
        <v>5.5E-2</v>
      </c>
      <c r="H42" s="171">
        <v>0.06</v>
      </c>
      <c r="I42" s="171">
        <v>6.5000000000000002E-2</v>
      </c>
      <c r="J42" s="172">
        <v>7.0000000000000007E-2</v>
      </c>
    </row>
    <row r="43" spans="2:12" x14ac:dyDescent="0.3">
      <c r="B43" s="68"/>
      <c r="C43" s="173">
        <v>8.5000000000000006E-2</v>
      </c>
      <c r="D43" s="73">
        <f t="dataTable" ref="D43:J49" dt2D="1" dtr="1" r1="C27" r2="C18"/>
        <v>1069.0738027043192</v>
      </c>
      <c r="E43" s="73">
        <v>1180.3012414103634</v>
      </c>
      <c r="F43" s="73">
        <v>1323.3079483181348</v>
      </c>
      <c r="G43" s="73">
        <v>1513.9835575284962</v>
      </c>
      <c r="H43" s="73">
        <v>1780.9294104230023</v>
      </c>
      <c r="I43" s="73">
        <v>2181.3481897647616</v>
      </c>
      <c r="J43" s="74">
        <v>2848.7128220010277</v>
      </c>
    </row>
    <row r="44" spans="2:12" x14ac:dyDescent="0.3">
      <c r="B44" s="68"/>
      <c r="C44" s="173">
        <v>0.09</v>
      </c>
      <c r="D44" s="73">
        <v>965.88404738016652</v>
      </c>
      <c r="E44" s="73">
        <v>1053.4455618304135</v>
      </c>
      <c r="F44" s="73">
        <v>1162.8974548932222</v>
      </c>
      <c r="G44" s="73">
        <v>1303.6213174025474</v>
      </c>
      <c r="H44" s="73">
        <v>1491.2531340816477</v>
      </c>
      <c r="I44" s="73">
        <v>1753.9376774323885</v>
      </c>
      <c r="J44" s="74">
        <v>2147.9644924585</v>
      </c>
    </row>
    <row r="45" spans="2:12" x14ac:dyDescent="0.3">
      <c r="B45" s="68"/>
      <c r="C45" s="173">
        <v>9.5000000000000001E-2</v>
      </c>
      <c r="D45" s="73">
        <v>881.45800386869178</v>
      </c>
      <c r="E45" s="73">
        <v>951.96081185299283</v>
      </c>
      <c r="F45" s="73">
        <v>1038.1309105004723</v>
      </c>
      <c r="G45" s="73">
        <v>1145.8435338098211</v>
      </c>
      <c r="H45" s="73">
        <v>1284.3311923504129</v>
      </c>
      <c r="I45" s="73">
        <v>1468.9814037378685</v>
      </c>
      <c r="J45" s="74">
        <v>1727.4916996803065</v>
      </c>
    </row>
    <row r="46" spans="2:12" x14ac:dyDescent="0.3">
      <c r="B46" s="68"/>
      <c r="C46" s="173">
        <v>0.1</v>
      </c>
      <c r="D46" s="73">
        <v>811.10466664182434</v>
      </c>
      <c r="E46" s="73">
        <v>868.92760902222108</v>
      </c>
      <c r="F46" s="73">
        <v>938.31513987869744</v>
      </c>
      <c r="G46" s="73">
        <v>1023.1221220366124</v>
      </c>
      <c r="H46" s="73">
        <v>1129.1308497340067</v>
      </c>
      <c r="I46" s="73">
        <v>1265.4277853449419</v>
      </c>
      <c r="J46" s="74">
        <v>1447.1570328261892</v>
      </c>
    </row>
    <row r="47" spans="2:12" x14ac:dyDescent="0.3">
      <c r="B47" s="68"/>
      <c r="C47" s="173">
        <v>0.105</v>
      </c>
      <c r="D47" s="73">
        <v>751.57641860076615</v>
      </c>
      <c r="E47" s="73">
        <v>799.73303283953521</v>
      </c>
      <c r="F47" s="73">
        <v>856.645395121717</v>
      </c>
      <c r="G47" s="73">
        <v>924.94022986033497</v>
      </c>
      <c r="H47" s="73">
        <v>1008.4116945408681</v>
      </c>
      <c r="I47" s="73">
        <v>1112.7510253915345</v>
      </c>
      <c r="J47" s="74">
        <v>1246.901593628106</v>
      </c>
    </row>
    <row r="48" spans="2:12" x14ac:dyDescent="0.3">
      <c r="B48" s="68"/>
      <c r="C48" s="173">
        <v>0.11</v>
      </c>
      <c r="D48" s="73">
        <v>700.55353514499097</v>
      </c>
      <c r="E48" s="73">
        <v>741.18352397622641</v>
      </c>
      <c r="F48" s="73">
        <v>788.58517761266808</v>
      </c>
      <c r="G48" s="73">
        <v>844.60531372846242</v>
      </c>
      <c r="H48" s="73">
        <v>911.82947706741584</v>
      </c>
      <c r="I48" s="73">
        <v>993.99234337058124</v>
      </c>
      <c r="J48" s="74">
        <v>1096.6959262495379</v>
      </c>
    </row>
    <row r="49" spans="2:10" x14ac:dyDescent="0.3">
      <c r="B49" s="68"/>
      <c r="C49" s="174">
        <v>0.115</v>
      </c>
      <c r="D49" s="122">
        <v>656.33488661580589</v>
      </c>
      <c r="E49" s="122">
        <v>690.99796953892962</v>
      </c>
      <c r="F49" s="122">
        <v>730.99383445022647</v>
      </c>
      <c r="G49" s="122">
        <v>777.65567684673897</v>
      </c>
      <c r="H49" s="122">
        <v>832.8014905880724</v>
      </c>
      <c r="I49" s="122">
        <v>898.9764670776724</v>
      </c>
      <c r="J49" s="112">
        <v>979.85699389829472</v>
      </c>
    </row>
  </sheetData>
  <mergeCells count="2">
    <mergeCell ref="C1:G1"/>
    <mergeCell ref="H1:L1"/>
  </mergeCells>
  <conditionalFormatting sqref="D43:J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3 Statement Model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Akashdeep Mukherjee</dc:creator>
  <cp:lastModifiedBy>cgpju</cp:lastModifiedBy>
  <dcterms:created xsi:type="dcterms:W3CDTF">2015-06-05T18:17:20Z</dcterms:created>
  <dcterms:modified xsi:type="dcterms:W3CDTF">2026-04-27T10:18:58Z</dcterms:modified>
</cp:coreProperties>
</file>