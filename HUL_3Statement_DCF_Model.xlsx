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khe\Documents\HUL Model\"/>
    </mc:Choice>
  </mc:AlternateContent>
  <xr:revisionPtr revIDLastSave="0" documentId="13_ncr:1_{14C2901C-9153-4932-AEA3-0A2FD2B8DE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ver" sheetId="4" r:id="rId1"/>
    <sheet name="Assumptions" sheetId="5" r:id="rId2"/>
    <sheet name="Income Statement" sheetId="2" r:id="rId3"/>
    <sheet name="Balance Sheet" sheetId="1" r:id="rId4"/>
    <sheet name="Cashflow Statement" sheetId="3" r:id="rId5"/>
    <sheet name="DC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4" l="1"/>
  <c r="I13" i="4"/>
  <c r="I12" i="4"/>
  <c r="I11" i="4"/>
  <c r="I15" i="2"/>
  <c r="J15" i="2" s="1"/>
  <c r="K15" i="2" s="1"/>
  <c r="H15" i="2"/>
  <c r="E5" i="6"/>
  <c r="F5" i="6"/>
  <c r="G5" i="6"/>
  <c r="H5" i="6"/>
  <c r="D5" i="6"/>
  <c r="C34" i="6" l="1"/>
  <c r="C35" i="6"/>
  <c r="C37" i="6"/>
  <c r="C26" i="6"/>
  <c r="I55" i="1"/>
  <c r="J55" i="1"/>
  <c r="K55" i="1" s="1"/>
  <c r="H55" i="1"/>
  <c r="E9" i="6"/>
  <c r="F9" i="6"/>
  <c r="G9" i="6"/>
  <c r="H9" i="6"/>
  <c r="D9" i="6"/>
  <c r="G75" i="3"/>
  <c r="F75" i="3"/>
  <c r="E75" i="3"/>
  <c r="C15" i="6"/>
  <c r="C22" i="6"/>
  <c r="E10" i="6"/>
  <c r="F10" i="6"/>
  <c r="G10" i="6"/>
  <c r="H10" i="6"/>
  <c r="D10" i="6"/>
  <c r="E8" i="6"/>
  <c r="F8" i="6"/>
  <c r="G8" i="6"/>
  <c r="H8" i="6"/>
  <c r="D8" i="6"/>
  <c r="E4" i="6"/>
  <c r="F4" i="6" s="1"/>
  <c r="G4" i="6" s="1"/>
  <c r="H4" i="6" s="1"/>
  <c r="I4" i="6" s="1"/>
  <c r="J4" i="6" s="1"/>
  <c r="K4" i="6" s="1"/>
  <c r="L4" i="6" s="1"/>
  <c r="H75" i="3"/>
  <c r="I63" i="3"/>
  <c r="J63" i="3"/>
  <c r="K63" i="3"/>
  <c r="H63" i="3"/>
  <c r="K71" i="3"/>
  <c r="D37" i="5"/>
  <c r="E37" i="5"/>
  <c r="F37" i="5"/>
  <c r="G37" i="5"/>
  <c r="C37" i="5"/>
  <c r="D36" i="5"/>
  <c r="E36" i="5"/>
  <c r="F36" i="5"/>
  <c r="G36" i="5"/>
  <c r="C36" i="5"/>
  <c r="D24" i="2"/>
  <c r="E24" i="2"/>
  <c r="F24" i="2"/>
  <c r="F27" i="2" s="1"/>
  <c r="G24" i="2"/>
  <c r="C24" i="2"/>
  <c r="D29" i="5"/>
  <c r="E29" i="5"/>
  <c r="F29" i="5"/>
  <c r="G29" i="5"/>
  <c r="C29" i="5"/>
  <c r="G30" i="5"/>
  <c r="F22" i="2"/>
  <c r="E22" i="2"/>
  <c r="E15" i="5" s="1"/>
  <c r="F6" i="6" s="1"/>
  <c r="O13" i="2"/>
  <c r="D13" i="5" s="1"/>
  <c r="G22" i="2"/>
  <c r="D18" i="5"/>
  <c r="E18" i="5"/>
  <c r="F18" i="5"/>
  <c r="G18" i="5"/>
  <c r="C18" i="5"/>
  <c r="D26" i="5"/>
  <c r="E26" i="5"/>
  <c r="F26" i="5"/>
  <c r="G26" i="5"/>
  <c r="C26" i="5"/>
  <c r="D25" i="5"/>
  <c r="E25" i="5"/>
  <c r="F25" i="5"/>
  <c r="G25" i="5"/>
  <c r="C25" i="5"/>
  <c r="O15" i="2"/>
  <c r="D14" i="5" s="1"/>
  <c r="Q15" i="2"/>
  <c r="F14" i="5" s="1"/>
  <c r="Q13" i="2"/>
  <c r="F13" i="5" s="1"/>
  <c r="J13" i="5" s="1"/>
  <c r="R13" i="2"/>
  <c r="G13" i="5" s="1"/>
  <c r="O11" i="2"/>
  <c r="D12" i="5" s="1"/>
  <c r="P11" i="2"/>
  <c r="E12" i="5" s="1"/>
  <c r="Q11" i="2"/>
  <c r="F12" i="5" s="1"/>
  <c r="R11" i="2"/>
  <c r="G12" i="5" s="1"/>
  <c r="J12" i="5" s="1"/>
  <c r="N11" i="2"/>
  <c r="C12" i="5" s="1"/>
  <c r="O10" i="2"/>
  <c r="P10" i="2" s="1"/>
  <c r="Q10" i="2" s="1"/>
  <c r="R10" i="2" s="1"/>
  <c r="S10" i="2" s="1"/>
  <c r="T10" i="2" s="1"/>
  <c r="U10" i="2" s="1"/>
  <c r="V10" i="2" s="1"/>
  <c r="D24" i="5"/>
  <c r="E24" i="5"/>
  <c r="F24" i="5"/>
  <c r="G24" i="5"/>
  <c r="C24" i="5"/>
  <c r="D30" i="5"/>
  <c r="E30" i="5"/>
  <c r="F30" i="5"/>
  <c r="C30" i="5"/>
  <c r="D20" i="5"/>
  <c r="E20" i="5"/>
  <c r="F20" i="5"/>
  <c r="G20" i="5"/>
  <c r="C20" i="5"/>
  <c r="D19" i="5"/>
  <c r="E19" i="5"/>
  <c r="F19" i="5"/>
  <c r="G19" i="5"/>
  <c r="C19" i="5"/>
  <c r="D8" i="5"/>
  <c r="E8" i="5"/>
  <c r="F8" i="5"/>
  <c r="F9" i="5" s="1"/>
  <c r="G8" i="5"/>
  <c r="C8" i="5"/>
  <c r="D6" i="5"/>
  <c r="E6" i="5"/>
  <c r="F6" i="5"/>
  <c r="G6" i="5"/>
  <c r="H6" i="5" s="1"/>
  <c r="C6" i="5"/>
  <c r="D4" i="5"/>
  <c r="E4" i="5" s="1"/>
  <c r="F4" i="5" s="1"/>
  <c r="G4" i="5" s="1"/>
  <c r="H4" i="5" s="1"/>
  <c r="I4" i="5" s="1"/>
  <c r="J4" i="5" s="1"/>
  <c r="K4" i="5" s="1"/>
  <c r="G61" i="1"/>
  <c r="F61" i="1"/>
  <c r="E61" i="1"/>
  <c r="D61" i="1"/>
  <c r="C61" i="1"/>
  <c r="D40" i="1"/>
  <c r="E40" i="1"/>
  <c r="F40" i="1"/>
  <c r="G40" i="1"/>
  <c r="D49" i="1"/>
  <c r="E49" i="1"/>
  <c r="F49" i="1"/>
  <c r="G49" i="1"/>
  <c r="H49" i="1"/>
  <c r="I49" i="1"/>
  <c r="J49" i="1"/>
  <c r="K49" i="1"/>
  <c r="C49" i="1"/>
  <c r="C40" i="1"/>
  <c r="D32" i="1"/>
  <c r="E32" i="1"/>
  <c r="F32" i="1"/>
  <c r="G32" i="1"/>
  <c r="D20" i="1"/>
  <c r="E20" i="1"/>
  <c r="F20" i="1"/>
  <c r="G20" i="1"/>
  <c r="C32" i="1"/>
  <c r="C20" i="1"/>
  <c r="D4" i="1"/>
  <c r="E4" i="1" s="1"/>
  <c r="F4" i="1" s="1"/>
  <c r="G4" i="1" s="1"/>
  <c r="H4" i="1" s="1"/>
  <c r="I4" i="1" s="1"/>
  <c r="J4" i="1" s="1"/>
  <c r="K4" i="1" s="1"/>
  <c r="D73" i="3"/>
  <c r="E73" i="3"/>
  <c r="F73" i="3"/>
  <c r="G73" i="3"/>
  <c r="C73" i="3"/>
  <c r="D60" i="3"/>
  <c r="E60" i="3"/>
  <c r="F60" i="3"/>
  <c r="G60" i="3"/>
  <c r="C60" i="3"/>
  <c r="D28" i="3"/>
  <c r="D35" i="3" s="1"/>
  <c r="D39" i="3" s="1"/>
  <c r="E28" i="3"/>
  <c r="E35" i="3" s="1"/>
  <c r="E39" i="3" s="1"/>
  <c r="F28" i="3"/>
  <c r="F35" i="3" s="1"/>
  <c r="F39" i="3" s="1"/>
  <c r="G28" i="3"/>
  <c r="G35" i="3" s="1"/>
  <c r="G39" i="3" s="1"/>
  <c r="C28" i="3"/>
  <c r="C35" i="3" s="1"/>
  <c r="C39" i="3" s="1"/>
  <c r="D4" i="3"/>
  <c r="E4" i="3" s="1"/>
  <c r="F4" i="3" s="1"/>
  <c r="G4" i="3" s="1"/>
  <c r="H4" i="3" s="1"/>
  <c r="I4" i="3" s="1"/>
  <c r="J4" i="3" s="1"/>
  <c r="K4" i="3" s="1"/>
  <c r="D22" i="2"/>
  <c r="D18" i="2"/>
  <c r="E18" i="2"/>
  <c r="F18" i="2"/>
  <c r="G18" i="2"/>
  <c r="D8" i="2"/>
  <c r="E8" i="2"/>
  <c r="F8" i="2"/>
  <c r="G8" i="2"/>
  <c r="C8" i="2"/>
  <c r="C18" i="2"/>
  <c r="D4" i="2"/>
  <c r="E4" i="2" s="1"/>
  <c r="F4" i="2" s="1"/>
  <c r="G4" i="2" s="1"/>
  <c r="H4" i="2" s="1"/>
  <c r="I4" i="2" s="1"/>
  <c r="J4" i="2" s="1"/>
  <c r="K4" i="2" s="1"/>
  <c r="K36" i="5" l="1"/>
  <c r="F7" i="6"/>
  <c r="K73" i="3"/>
  <c r="H16" i="3"/>
  <c r="C25" i="6"/>
  <c r="C28" i="6" s="1"/>
  <c r="F11" i="6"/>
  <c r="K16" i="3"/>
  <c r="J16" i="3"/>
  <c r="H71" i="3"/>
  <c r="H73" i="3" s="1"/>
  <c r="J71" i="3"/>
  <c r="J73" i="3" s="1"/>
  <c r="I16" i="3"/>
  <c r="I71" i="3"/>
  <c r="I73" i="3" s="1"/>
  <c r="K13" i="5"/>
  <c r="I13" i="5"/>
  <c r="G27" i="2"/>
  <c r="G34" i="5" s="1"/>
  <c r="I12" i="5"/>
  <c r="D27" i="2"/>
  <c r="D34" i="5" s="1"/>
  <c r="I37" i="5"/>
  <c r="H12" i="5"/>
  <c r="K12" i="5"/>
  <c r="J36" i="5"/>
  <c r="E27" i="2"/>
  <c r="E34" i="5" s="1"/>
  <c r="I36" i="5"/>
  <c r="H37" i="5"/>
  <c r="J37" i="5"/>
  <c r="K37" i="5"/>
  <c r="H36" i="5"/>
  <c r="H13" i="5"/>
  <c r="H26" i="5"/>
  <c r="K26" i="5"/>
  <c r="I6" i="5"/>
  <c r="H6" i="2"/>
  <c r="J26" i="5"/>
  <c r="I26" i="5"/>
  <c r="F7" i="5"/>
  <c r="N15" i="2"/>
  <c r="C14" i="5" s="1"/>
  <c r="P13" i="2"/>
  <c r="E13" i="5" s="1"/>
  <c r="P15" i="2"/>
  <c r="E14" i="5" s="1"/>
  <c r="D15" i="5"/>
  <c r="E6" i="6" s="1"/>
  <c r="E7" i="6" s="1"/>
  <c r="E11" i="6" s="1"/>
  <c r="F34" i="5"/>
  <c r="F15" i="5"/>
  <c r="G6" i="6" s="1"/>
  <c r="G7" i="6" s="1"/>
  <c r="G11" i="6" s="1"/>
  <c r="G15" i="5"/>
  <c r="H6" i="6" s="1"/>
  <c r="H7" i="6" s="1"/>
  <c r="H11" i="6" s="1"/>
  <c r="R15" i="2"/>
  <c r="G14" i="5" s="1"/>
  <c r="H14" i="5" s="1"/>
  <c r="N13" i="2"/>
  <c r="C13" i="5" s="1"/>
  <c r="E9" i="5"/>
  <c r="D7" i="5"/>
  <c r="G9" i="5"/>
  <c r="E7" i="5"/>
  <c r="D9" i="5"/>
  <c r="G7" i="5"/>
  <c r="F62" i="1"/>
  <c r="E62" i="1"/>
  <c r="F33" i="1"/>
  <c r="F65" i="1" s="1"/>
  <c r="C62" i="1"/>
  <c r="D62" i="1"/>
  <c r="G62" i="1"/>
  <c r="E33" i="1"/>
  <c r="E66" i="1" s="1"/>
  <c r="G33" i="1"/>
  <c r="C33" i="1"/>
  <c r="D33" i="1"/>
  <c r="D66" i="1" s="1"/>
  <c r="E74" i="3"/>
  <c r="E77" i="3" s="1"/>
  <c r="C74" i="3"/>
  <c r="C77" i="3" s="1"/>
  <c r="G74" i="3"/>
  <c r="G77" i="3" s="1"/>
  <c r="F74" i="3"/>
  <c r="F77" i="3" s="1"/>
  <c r="D74" i="3"/>
  <c r="D77" i="3" s="1"/>
  <c r="K12" i="6" l="1"/>
  <c r="I12" i="6"/>
  <c r="L12" i="6"/>
  <c r="J12" i="6"/>
  <c r="E65" i="1"/>
  <c r="I15" i="5"/>
  <c r="J6" i="6" s="1"/>
  <c r="J15" i="5"/>
  <c r="K6" i="6" s="1"/>
  <c r="K15" i="5"/>
  <c r="L6" i="6" s="1"/>
  <c r="H15" i="5"/>
  <c r="I6" i="6" s="1"/>
  <c r="H16" i="2"/>
  <c r="H26" i="1"/>
  <c r="H14" i="2"/>
  <c r="H17" i="2"/>
  <c r="H42" i="3"/>
  <c r="I10" i="6" s="1"/>
  <c r="J14" i="5"/>
  <c r="K14" i="5"/>
  <c r="I14" i="5"/>
  <c r="H8" i="5"/>
  <c r="S11" i="2"/>
  <c r="H56" i="1" s="1"/>
  <c r="H34" i="3" s="1"/>
  <c r="J6" i="5"/>
  <c r="I6" i="2"/>
  <c r="C22" i="2"/>
  <c r="C27" i="2" s="1"/>
  <c r="C34" i="5" s="1"/>
  <c r="C65" i="1"/>
  <c r="C66" i="1"/>
  <c r="F66" i="1"/>
  <c r="D65" i="1"/>
  <c r="G66" i="1"/>
  <c r="G65" i="1"/>
  <c r="H8" i="3" l="1"/>
  <c r="I8" i="6"/>
  <c r="H7" i="1"/>
  <c r="I42" i="3"/>
  <c r="J10" i="6" s="1"/>
  <c r="I17" i="2"/>
  <c r="I26" i="1"/>
  <c r="I31" i="3" s="1"/>
  <c r="I14" i="2"/>
  <c r="H11" i="2"/>
  <c r="H18" i="2" s="1"/>
  <c r="H22" i="1"/>
  <c r="C15" i="5"/>
  <c r="D6" i="6" s="1"/>
  <c r="D7" i="6" s="1"/>
  <c r="D11" i="6" s="1"/>
  <c r="I16" i="2"/>
  <c r="H20" i="1"/>
  <c r="H31" i="3"/>
  <c r="T11" i="2"/>
  <c r="I56" i="1" s="1"/>
  <c r="I34" i="3" s="1"/>
  <c r="H7" i="2"/>
  <c r="I8" i="5"/>
  <c r="K6" i="5"/>
  <c r="K6" i="2" s="1"/>
  <c r="J6" i="2"/>
  <c r="I7" i="1" l="1"/>
  <c r="I8" i="3"/>
  <c r="J8" i="6"/>
  <c r="I20" i="1"/>
  <c r="K26" i="1"/>
  <c r="K42" i="3"/>
  <c r="L10" i="6" s="1"/>
  <c r="K14" i="2"/>
  <c r="K17" i="2"/>
  <c r="K16" i="2"/>
  <c r="H32" i="3"/>
  <c r="I9" i="6" s="1"/>
  <c r="J26" i="1"/>
  <c r="J42" i="3"/>
  <c r="K10" i="6" s="1"/>
  <c r="J14" i="2"/>
  <c r="J17" i="2"/>
  <c r="J16" i="2"/>
  <c r="H8" i="2"/>
  <c r="H20" i="2" s="1"/>
  <c r="H13" i="3"/>
  <c r="H57" i="3"/>
  <c r="H60" i="3" s="1"/>
  <c r="H61" i="1"/>
  <c r="I11" i="2"/>
  <c r="I18" i="2" s="1"/>
  <c r="I22" i="1"/>
  <c r="U11" i="2"/>
  <c r="J56" i="1" s="1"/>
  <c r="J34" i="3" s="1"/>
  <c r="V11" i="2"/>
  <c r="K56" i="1" s="1"/>
  <c r="I7" i="2"/>
  <c r="J8" i="5"/>
  <c r="K8" i="3" l="1"/>
  <c r="L8" i="6"/>
  <c r="H22" i="2"/>
  <c r="H6" i="3" s="1"/>
  <c r="H28" i="3" s="1"/>
  <c r="H35" i="3" s="1"/>
  <c r="S15" i="2"/>
  <c r="I5" i="6" s="1"/>
  <c r="I7" i="6" s="1"/>
  <c r="I11" i="6" s="1"/>
  <c r="I13" i="6" s="1"/>
  <c r="S13" i="2"/>
  <c r="J8" i="3"/>
  <c r="K8" i="6"/>
  <c r="K34" i="3"/>
  <c r="K31" i="3"/>
  <c r="J9" i="6"/>
  <c r="J31" i="3"/>
  <c r="I61" i="1"/>
  <c r="I32" i="3"/>
  <c r="I8" i="2"/>
  <c r="I20" i="2" s="1"/>
  <c r="I13" i="3"/>
  <c r="I57" i="3"/>
  <c r="I60" i="3" s="1"/>
  <c r="K11" i="2"/>
  <c r="K18" i="2" s="1"/>
  <c r="K22" i="1"/>
  <c r="J11" i="2"/>
  <c r="J18" i="2" s="1"/>
  <c r="J22" i="1"/>
  <c r="J7" i="1"/>
  <c r="K8" i="5"/>
  <c r="K7" i="2" s="1"/>
  <c r="J7" i="2"/>
  <c r="I22" i="2" l="1"/>
  <c r="I6" i="3" s="1"/>
  <c r="I28" i="3" s="1"/>
  <c r="I35" i="3" s="1"/>
  <c r="T13" i="2"/>
  <c r="T15" i="2"/>
  <c r="J5" i="6" s="1"/>
  <c r="J7" i="6" s="1"/>
  <c r="J11" i="6" s="1"/>
  <c r="J13" i="6" s="1"/>
  <c r="K32" i="3"/>
  <c r="H25" i="2"/>
  <c r="H24" i="2" s="1"/>
  <c r="K61" i="1"/>
  <c r="I25" i="2"/>
  <c r="I24" i="2" s="1"/>
  <c r="J8" i="2"/>
  <c r="J20" i="2" s="1"/>
  <c r="J13" i="3"/>
  <c r="J57" i="3"/>
  <c r="J60" i="3" s="1"/>
  <c r="K8" i="2"/>
  <c r="K20" i="2" s="1"/>
  <c r="K13" i="3"/>
  <c r="K57" i="3"/>
  <c r="K60" i="3" s="1"/>
  <c r="K7" i="1"/>
  <c r="K20" i="1" s="1"/>
  <c r="J20" i="1"/>
  <c r="J61" i="1"/>
  <c r="J32" i="3"/>
  <c r="K9" i="6" s="1"/>
  <c r="J22" i="2" l="1"/>
  <c r="J25" i="2" s="1"/>
  <c r="J24" i="2" s="1"/>
  <c r="U13" i="2"/>
  <c r="U15" i="2"/>
  <c r="K5" i="6" s="1"/>
  <c r="K7" i="6" s="1"/>
  <c r="K11" i="6" s="1"/>
  <c r="K13" i="6" s="1"/>
  <c r="H36" i="3"/>
  <c r="H39" i="3" s="1"/>
  <c r="H74" i="3" s="1"/>
  <c r="H77" i="3" s="1"/>
  <c r="H27" i="1" s="1"/>
  <c r="I75" i="3" s="1"/>
  <c r="H27" i="2"/>
  <c r="H38" i="1" s="1"/>
  <c r="H40" i="1" s="1"/>
  <c r="H62" i="1" s="1"/>
  <c r="K22" i="2"/>
  <c r="K25" i="2" s="1"/>
  <c r="K24" i="2" s="1"/>
  <c r="V15" i="2"/>
  <c r="L5" i="6" s="1"/>
  <c r="V13" i="2"/>
  <c r="L7" i="6"/>
  <c r="L9" i="6"/>
  <c r="I27" i="2"/>
  <c r="I36" i="3"/>
  <c r="I39" i="3" s="1"/>
  <c r="I74" i="3" s="1"/>
  <c r="H32" i="1" l="1"/>
  <c r="H33" i="1" s="1"/>
  <c r="H65" i="1" s="1"/>
  <c r="I38" i="1"/>
  <c r="K6" i="3"/>
  <c r="K28" i="3" s="1"/>
  <c r="K35" i="3" s="1"/>
  <c r="J6" i="3"/>
  <c r="J28" i="3" s="1"/>
  <c r="J35" i="3" s="1"/>
  <c r="L11" i="6"/>
  <c r="I77" i="3"/>
  <c r="I27" i="1" s="1"/>
  <c r="J75" i="3" s="1"/>
  <c r="I40" i="1"/>
  <c r="I62" i="1" s="1"/>
  <c r="H66" i="1"/>
  <c r="K27" i="2"/>
  <c r="K36" i="3"/>
  <c r="K39" i="3" s="1"/>
  <c r="K74" i="3" s="1"/>
  <c r="J27" i="2"/>
  <c r="J38" i="1" s="1"/>
  <c r="J36" i="3"/>
  <c r="J39" i="3" s="1"/>
  <c r="J74" i="3" s="1"/>
  <c r="C30" i="6" l="1"/>
  <c r="C31" i="6" s="1"/>
  <c r="L13" i="6"/>
  <c r="I32" i="1"/>
  <c r="I33" i="1" s="1"/>
  <c r="K38" i="1"/>
  <c r="K40" i="1" s="1"/>
  <c r="K62" i="1" s="1"/>
  <c r="J40" i="1"/>
  <c r="J62" i="1" s="1"/>
  <c r="J77" i="3"/>
  <c r="J27" i="1" s="1"/>
  <c r="C32" i="6" l="1"/>
  <c r="C36" i="6" s="1"/>
  <c r="C38" i="6" s="1"/>
  <c r="I66" i="1"/>
  <c r="I65" i="1"/>
  <c r="K75" i="3"/>
  <c r="K77" i="3" s="1"/>
  <c r="K27" i="1" s="1"/>
  <c r="K32" i="1" s="1"/>
  <c r="K33" i="1" s="1"/>
  <c r="K65" i="1" s="1"/>
  <c r="J32" i="1"/>
  <c r="J33" i="1" s="1"/>
  <c r="J65" i="1" s="1"/>
  <c r="B46" i="6" l="1"/>
  <c r="C40" i="6"/>
  <c r="J66" i="1"/>
  <c r="K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tc={321AD4A1-2E42-4632-B8AD-24219C3F1667}</author>
    <author>tc={3F8DF2F0-C545-4734-8A5B-9955287127CD}</author>
    <author>tc={F44565EE-1864-4526-82CA-82FE8D03FB97}</author>
    <author>tc={91E560F3-4580-44C7-94C7-E0834D704CA2}</author>
    <author>tc={68D1DAD9-A9CF-4EC7-BC47-FAF6DAE04F3A}</author>
  </authors>
  <commentList>
    <comment ref="C20" authorId="0" shapeId="0" xr:uid="{321AD4A1-2E42-4632-B8AD-24219C3F16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Hardcoded as per annual report. Small difference vs. formula due to rounding in reported figures. </t>
      </text>
    </comment>
    <comment ref="D20" authorId="1" shapeId="0" xr:uid="{3F8DF2F0-C545-4734-8A5B-9955287127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Hardcoded as per annual report. Small difference vs. formula due to rounding in reported figures. </t>
      </text>
    </comment>
    <comment ref="E20" authorId="2" shapeId="0" xr:uid="{F44565EE-1864-4526-82CA-82FE8D03F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Hardcoded as per annual report. Small difference vs. formula due to rounding in reported figures. </t>
      </text>
    </comment>
    <comment ref="F20" authorId="3" shapeId="0" xr:uid="{91E560F3-4580-44C7-94C7-E0834D704C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Hardcoded as per annual report. Small difference vs. formula due to rounding in reported figures. </t>
      </text>
    </comment>
    <comment ref="G20" authorId="4" shapeId="0" xr:uid="{68D1DAD9-A9CF-4EC7-BC47-FAF6DAE04F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Hardcoded as per annual report. Small difference vs. formula due to rounding in reported figures.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<sst xmlns="http://schemas.openxmlformats.org/spreadsheetml/2006/main" count="260" uniqueCount="240">
  <si>
    <t>Income Statement - HINDUSTAN UNILEVER</t>
  </si>
  <si>
    <t>INCOME</t>
  </si>
  <si>
    <t>Revenue from Operations</t>
  </si>
  <si>
    <t>Other Income</t>
  </si>
  <si>
    <t>EXPENSES</t>
  </si>
  <si>
    <t>Cost of Materials Consumed</t>
  </si>
  <si>
    <t>Purchase of Stock in Trade</t>
  </si>
  <si>
    <t>Changes in Inventories of finished goods (including stock in trade) and Work in Progress</t>
  </si>
  <si>
    <t>Employee Benefits Expenses</t>
  </si>
  <si>
    <t>Finance Costs</t>
  </si>
  <si>
    <t>Depreciation and Amortisation Expense</t>
  </si>
  <si>
    <t>Other Expenses</t>
  </si>
  <si>
    <t>TOTAL EXPENSES</t>
  </si>
  <si>
    <t>TOTAL INCOME</t>
  </si>
  <si>
    <t>Profit Before Exceptional Items and Tax</t>
  </si>
  <si>
    <t>Exceptional Items (Net)</t>
  </si>
  <si>
    <t>Profit Before Tax from Continuing Operations</t>
  </si>
  <si>
    <t>Current Tax</t>
  </si>
  <si>
    <t>Deffered Tax Charge</t>
  </si>
  <si>
    <t>Profit after Tax from Continuing Operations</t>
  </si>
  <si>
    <t>ACTUALS</t>
  </si>
  <si>
    <t>FORECAST</t>
  </si>
  <si>
    <t>Cashflow Statement - HINDUSTAN UNILEVER</t>
  </si>
  <si>
    <t>CASHFLOW FROM OPERATING ACTIVITIES</t>
  </si>
  <si>
    <t>Adjustments for:</t>
  </si>
  <si>
    <t>Depreciation and Amortisation</t>
  </si>
  <si>
    <t>(Profit)/Loss on Sale of Property, Plant and Equipment</t>
  </si>
  <si>
    <t>Government Grant Accrued (Net)</t>
  </si>
  <si>
    <t>Contingent consideration true up for business combination</t>
  </si>
  <si>
    <t>Finance Income</t>
  </si>
  <si>
    <t>Dividend income</t>
  </si>
  <si>
    <t>Other non-operating income – Fair value (gain)/loss on investments</t>
  </si>
  <si>
    <t>Interest expense</t>
  </si>
  <si>
    <t>Provision for expenses on employee stock options</t>
  </si>
  <si>
    <t>Inventory written off net of Provision/(write back) for Inventory</t>
  </si>
  <si>
    <t>Bad debts/assets written off net of Provision/(write back)</t>
  </si>
  <si>
    <t>Mark-to-market loss/(gain) on derivative financial instruments</t>
  </si>
  <si>
    <t>Cash generated from operations before working capital changes</t>
  </si>
  <si>
    <t>(Increase)/decrease in Non-Current Assets</t>
  </si>
  <si>
    <t>(Increase)/decrease in Current Assets</t>
  </si>
  <si>
    <t>(Increase)/decrease in Inventories</t>
  </si>
  <si>
    <t>Increase/(decrease) in Non-Current Liabilities</t>
  </si>
  <si>
    <t>Increase/(decrease) in Current Liabilities</t>
  </si>
  <si>
    <t>Cash generated from operations</t>
  </si>
  <si>
    <t>Taxes paid (net of refunds)</t>
  </si>
  <si>
    <t>Loss from discontinued operations</t>
  </si>
  <si>
    <t>Net cash generated from operating activities – [A]</t>
  </si>
  <si>
    <t>CASH FLOW FROM INVESTING ACTIVITIES:</t>
  </si>
  <si>
    <t>Purchase of property, plant and equipment</t>
  </si>
  <si>
    <t>Sale proceeds of property, plant and equipment</t>
  </si>
  <si>
    <t>Purchase of intangible assets</t>
  </si>
  <si>
    <t>Contingent consideration paid on business combination</t>
  </si>
  <si>
    <t>Purchase of current investments</t>
  </si>
  <si>
    <t>Sale proceeds of current investments</t>
  </si>
  <si>
    <t>Stamp duty on issue of equity shares</t>
  </si>
  <si>
    <t>Investment in term deposits (having original maturity of more than 3 months)</t>
  </si>
  <si>
    <t>Redemption/maturity of term deposits (having original maturity of more than 3 months)</t>
  </si>
  <si>
    <t>Interest received</t>
  </si>
  <si>
    <t>Dividend received from others</t>
  </si>
  <si>
    <t>Net cash (used in)/generated from investing activities – [B]</t>
  </si>
  <si>
    <t>CASH FLOW FROM FINANCING ACTIVITIES:</t>
  </si>
  <si>
    <t>Dividends paid</t>
  </si>
  <si>
    <t>Dividend distribution tax paid</t>
  </si>
  <si>
    <t>Amount taken for short-term purpose</t>
  </si>
  <si>
    <t>Repayment of amount taken for short-term purpose</t>
  </si>
  <si>
    <t>Principal payment of lease liabilities</t>
  </si>
  <si>
    <t>Interest paid on lease liabilities</t>
  </si>
  <si>
    <t>Interest paid other than on lease liabilities</t>
  </si>
  <si>
    <t>Proceeds from share allotment under employee stock options/performance share schemes</t>
  </si>
  <si>
    <t>Net cash used in financing activities – [C]</t>
  </si>
  <si>
    <t>Net (decrease)/increase in cash and cash equivalents – [A+B+C]</t>
  </si>
  <si>
    <t>Add: Cash and cash equivalents at the beginning of the year</t>
  </si>
  <si>
    <t>Cash and cash equivalents at the end of the year (refer note 12)</t>
  </si>
  <si>
    <t>Profit on sale of brand rights</t>
  </si>
  <si>
    <t>Sale proceeds of intangible assets (brand rights)</t>
  </si>
  <si>
    <t>Loans given to others</t>
  </si>
  <si>
    <t>Investment in non-current deposits with banks</t>
  </si>
  <si>
    <t>Payment from Retirement Benefit Scheme Reserve</t>
  </si>
  <si>
    <t>Transaction cost from acquisition</t>
  </si>
  <si>
    <t>Profit/(Loss) from Joint venture</t>
  </si>
  <si>
    <t>Investment in subsidiary</t>
  </si>
  <si>
    <t>Transaction cost on acquisition</t>
  </si>
  <si>
    <t>Investment in joint venture</t>
  </si>
  <si>
    <t>Borrowings repaid</t>
  </si>
  <si>
    <t>Employee stock options paid</t>
  </si>
  <si>
    <t>Fair value gain on financial liability on acquisition</t>
  </si>
  <si>
    <t>Movement in provision towards litigation</t>
  </si>
  <si>
    <t>Share of loss of joint venture</t>
  </si>
  <si>
    <t>Profit on sale of water purification business</t>
  </si>
  <si>
    <t>Share based payment expense</t>
  </si>
  <si>
    <t>Sale proceeds of water purification business</t>
  </si>
  <si>
    <t>Balance Sheet - HINDUSTAN UNILEVER</t>
  </si>
  <si>
    <t>ASSETS</t>
  </si>
  <si>
    <t>Non-Current Assets</t>
  </si>
  <si>
    <t>Property, Plant and Equipment</t>
  </si>
  <si>
    <t>Capital Work-in-Progress</t>
  </si>
  <si>
    <t>Goodwill</t>
  </si>
  <si>
    <t>Other Intangible Assets</t>
  </si>
  <si>
    <t>Goodwill on Consolidation</t>
  </si>
  <si>
    <t>Investments</t>
  </si>
  <si>
    <t>Financial Assets:</t>
  </si>
  <si>
    <t>Loans</t>
  </si>
  <si>
    <t>Other Financial Assets</t>
  </si>
  <si>
    <t>Deffered tax Assets (Net)</t>
  </si>
  <si>
    <t>Other Non-Current Assets</t>
  </si>
  <si>
    <t>Non-Current Tax Assets (Net)</t>
  </si>
  <si>
    <t>Current Assets</t>
  </si>
  <si>
    <t>Inventories</t>
  </si>
  <si>
    <t>Trade Recievables</t>
  </si>
  <si>
    <t>Cash and Cash Equivalent</t>
  </si>
  <si>
    <t>Bank Balances other than Cash and Cash Equivalents mentioned above</t>
  </si>
  <si>
    <t>Other Current Assets</t>
  </si>
  <si>
    <t>Assets Held for Sale</t>
  </si>
  <si>
    <t>EQUITY AND LIABILITIES</t>
  </si>
  <si>
    <t>EQUITY</t>
  </si>
  <si>
    <t>Equity Share Capital</t>
  </si>
  <si>
    <t>Other Equity</t>
  </si>
  <si>
    <t>Non-Controlling Interests</t>
  </si>
  <si>
    <t>LIABILITIES</t>
  </si>
  <si>
    <t>Non-Current Liabilities</t>
  </si>
  <si>
    <t>Other Financial Liabilities</t>
  </si>
  <si>
    <t>Provisions</t>
  </si>
  <si>
    <t>Non-Current Tax Liabilities (Net)</t>
  </si>
  <si>
    <t>Deferred Tax Liabilities (Net)</t>
  </si>
  <si>
    <t>Current Liabilities</t>
  </si>
  <si>
    <t>Financial Liabilities: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</si>
  <si>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</si>
  <si>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</si>
  <si>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</si>
  <si>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</si>
  <si>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Total - Non-current assets (A)</t>
  </si>
  <si>
    <t>Total - Current assets (B)</t>
  </si>
  <si>
    <t>TOTAL ASSETS (A+B)</t>
  </si>
  <si>
    <t>Total - Equity (A)</t>
  </si>
  <si>
    <t>Total - Non-current liabilities (B)</t>
  </si>
  <si>
    <t>Total - Current liabilities (C)</t>
  </si>
  <si>
    <t>TOTAL EQUITY AND LIABILITIES (A+B+C)</t>
  </si>
  <si>
    <t>Lease Liabilities</t>
  </si>
  <si>
    <t>Investments accounted for using the equity method</t>
  </si>
  <si>
    <t>Borrowings</t>
  </si>
  <si>
    <t>Balance Sheet Match</t>
  </si>
  <si>
    <t>Mismatch Amount (if Error)</t>
  </si>
  <si>
    <t>Current tax liabilities</t>
  </si>
  <si>
    <t>Assumptions &amp; Drivers — HINDUSTAN UNILEVER</t>
  </si>
  <si>
    <t>REVENUE DRIVERS</t>
  </si>
  <si>
    <t>YoY Other Revenue Growth %</t>
  </si>
  <si>
    <t>YoY Revenue from Operations Growth %</t>
  </si>
  <si>
    <t>PROFITABILITY DRIVERS</t>
  </si>
  <si>
    <t>Gross Margin % {(Revenue-COGS)/Revenue}</t>
  </si>
  <si>
    <t>EBITDA Margin % (EBITDA/Revenue)</t>
  </si>
  <si>
    <t>EBIT Margin % (EBIT/Revenue)</t>
  </si>
  <si>
    <t>Effective Tax Rate % (Total Tax/PBT)</t>
  </si>
  <si>
    <t>WORKING CAPITAL DRIVERS</t>
  </si>
  <si>
    <t>Debtor Days (DSO) {(Trade Recievables/Revenue)*365}</t>
  </si>
  <si>
    <t>Inventory Days (DIO) {(Inventories/COGS)*365}</t>
  </si>
  <si>
    <t>Creditor Days (DPO) {(Trade Payables/COGS)*365}</t>
  </si>
  <si>
    <t>CAPEX AND DEPRECIATION</t>
  </si>
  <si>
    <t>Capex</t>
  </si>
  <si>
    <t>Capex as % of Revenue (Capex/Revenue)</t>
  </si>
  <si>
    <t>DIVIDEND AND PAYOUT</t>
  </si>
  <si>
    <t>Dividend per Share</t>
  </si>
  <si>
    <t>Dividend Payout Ratio (Total Dividend/PAT)</t>
  </si>
  <si>
    <t>Interim</t>
  </si>
  <si>
    <t>Final</t>
  </si>
  <si>
    <t>Special</t>
  </si>
  <si>
    <t>COGS</t>
  </si>
  <si>
    <t>EBITDA</t>
  </si>
  <si>
    <t>EBIT</t>
  </si>
  <si>
    <t>Depreciation as % of Net PPE</t>
  </si>
  <si>
    <t>Depreciation as % of Revenue</t>
  </si>
  <si>
    <t>Normalized Dividend per Share</t>
  </si>
  <si>
    <t>Tax Expenses (Current + Deferred)</t>
  </si>
  <si>
    <t>Employee Expenses as % of Revenue</t>
  </si>
  <si>
    <t>Other Expenses as % of Revenue</t>
  </si>
  <si>
    <t>Trade Payables:</t>
  </si>
  <si>
    <t>Add: Cash acquired under Business Combination</t>
  </si>
  <si>
    <t>Tax Rate</t>
  </si>
  <si>
    <t>NOPAT</t>
  </si>
  <si>
    <t>Add: Depreciation and Amortization</t>
  </si>
  <si>
    <t>Less: Change in Working Capital</t>
  </si>
  <si>
    <t>Less: Capex</t>
  </si>
  <si>
    <t>FCFF</t>
  </si>
  <si>
    <t>Effective Tax Rate</t>
  </si>
  <si>
    <t>EBIT*(1-Tax Rate)</t>
  </si>
  <si>
    <t>Depreciation and Amortization</t>
  </si>
  <si>
    <t>Change in Trade Receivables + Change in Inventories - Change in Trade Payables</t>
  </si>
  <si>
    <t>Capital Expenditure</t>
  </si>
  <si>
    <t>Sum of Above</t>
  </si>
  <si>
    <t>FCFF CALCULATION</t>
  </si>
  <si>
    <t>WACC CALCULATION</t>
  </si>
  <si>
    <t>Risk Free Rate</t>
  </si>
  <si>
    <t>Beta</t>
  </si>
  <si>
    <t>Equity Risk Premium</t>
  </si>
  <si>
    <t>Cost of Equity (Ke) = Risk Free Rate + Beta(Equity Risk Premium)</t>
  </si>
  <si>
    <t>Cost of Debt (Kd)</t>
  </si>
  <si>
    <t>Pre-Tax</t>
  </si>
  <si>
    <t>Post-Tax = Pre-Tax*(1-Tax Rate)</t>
  </si>
  <si>
    <t>Market Cap (Equity)</t>
  </si>
  <si>
    <t xml:space="preserve">Debt </t>
  </si>
  <si>
    <t>Weight of Equity = Market Cap/(Market Cap+Debt)</t>
  </si>
  <si>
    <t>Weight of Debt = Debt/(Market Cap+Debt)</t>
  </si>
  <si>
    <t>WACC = (Weight of Equity × Cost of Equity) + (Weight of Debt × Post-tax Cost of Debt)</t>
  </si>
  <si>
    <t>Terminal Value = FCFF_FY2030 / (WACC − g)</t>
  </si>
  <si>
    <t>ENTERPRISE VALUE</t>
  </si>
  <si>
    <t>Enterprise Value = PV of FCFF (FY2026–FY2029) + PV of Terminal Value</t>
  </si>
  <si>
    <t>PBIT + Finance Cost</t>
  </si>
  <si>
    <t>Terminal Growth Rate (g)</t>
  </si>
  <si>
    <t>Discount Factor</t>
  </si>
  <si>
    <t>PV of FCFF</t>
  </si>
  <si>
    <t>PV of Terminal Value</t>
  </si>
  <si>
    <t>Less: Total Debt</t>
  </si>
  <si>
    <t>Add: Cash and Cash Equivalents</t>
  </si>
  <si>
    <t>Equity Value</t>
  </si>
  <si>
    <t xml:space="preserve">Shares Outstanding </t>
  </si>
  <si>
    <t>Implied Share Price</t>
  </si>
  <si>
    <t>Current Market Price</t>
  </si>
  <si>
    <t>Upside / (Downside) vs CMP</t>
  </si>
  <si>
    <t>Sensitivity Analysis — Implied Share Price (₹)</t>
  </si>
  <si>
    <t>WACC / Terminal Growth Rate</t>
  </si>
  <si>
    <t>Finance Cost Growth %</t>
  </si>
  <si>
    <t>HINDUSTAN UNILEVER LIMITED (HUL)</t>
  </si>
  <si>
    <t>NSE: HINDUNILVER</t>
  </si>
  <si>
    <t>VALUATION SUMMARY</t>
  </si>
  <si>
    <t>CURRENT MARKET PRICE</t>
  </si>
  <si>
    <t>IMPLIED SHARE PRICE (DCF)</t>
  </si>
  <si>
    <t>IMPLIED UPSIDE/(DOWNSIDE):</t>
  </si>
  <si>
    <t>TABLE OF CONTENTS</t>
  </si>
  <si>
    <t>1. ASSUMPTIONS &amp; DRIVERS</t>
  </si>
  <si>
    <t>2. INCOME STATEMENT</t>
  </si>
  <si>
    <t>3. BALANCE SHEET</t>
  </si>
  <si>
    <t>4. CASH FLOW STATEMENT</t>
  </si>
  <si>
    <t>5. DCF VALUATION &amp; SENSETIVITY ANALYSIS</t>
  </si>
  <si>
    <t>PROJECT: 3-STATEMENT FINANCIAL MODEL &amp; DCF VALUATION</t>
  </si>
  <si>
    <t>DATE: APRIL 1ST, 2026</t>
  </si>
  <si>
    <t>PREPARED BY: AKASHDEEP MUKHERJEE</t>
  </si>
  <si>
    <t>BLUE TEXT: HARDCODED INPUTS &amp; HISTORICAL ACTUALS</t>
  </si>
  <si>
    <t>BLACK TEXT: CALCULATIONS WITHIN THE SAME SHEET</t>
  </si>
  <si>
    <t>GREEN TEXT: LINKS TO OTHER SHEETS IN THIS WORKBOOK</t>
  </si>
  <si>
    <t>OVERVALUED/UNDERVALUED</t>
  </si>
  <si>
    <t>MODEL COLOR CODING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</si>
</sst>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\-"/>
    <numFmt numFmtId="165" formatCode="#,##0;\(#,##0\);0"/>
    <numFmt numFmtId="166" formatCode="0.0%"/>
    <numFmt numFmtId="167" formatCode="0.0"/>
    <numFmt numFmtId="168" formatCode="&quot;₹&quot;\ #,##0.0"/>
    <numFmt numFmtId="169" formatCode="0.0000000"/>
    <numFmt numFmtId="170" formatCode="#,##0.0;\(#,##0.0\);\-"/>
    <numFmt numFmtId="171" formatCode="#,##0.0;\(#,##0\);\-"/>
    <numFmt numFmtId="177" formatCode="&quot;₹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5EB8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1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166" fontId="3" fillId="0" borderId="0" xfId="0" applyNumberFormat="1" applyFont="1"/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5" fillId="0" borderId="0" xfId="0" applyFont="1"/>
    <xf numFmtId="9" fontId="3" fillId="0" borderId="0" xfId="0" applyNumberFormat="1" applyFont="1"/>
    <xf numFmtId="10" fontId="3" fillId="0" borderId="0" xfId="0" applyNumberFormat="1" applyFont="1"/>
    <xf numFmtId="166" fontId="3" fillId="0" borderId="0" xfId="1" applyNumberFormat="1" applyFont="1"/>
    <xf numFmtId="2" fontId="3" fillId="0" borderId="0" xfId="0" applyNumberFormat="1" applyFont="1"/>
    <xf numFmtId="167" fontId="3" fillId="0" borderId="0" xfId="0" applyNumberFormat="1" applyFont="1"/>
    <xf numFmtId="2" fontId="3" fillId="0" borderId="0" xfId="1" applyNumberFormat="1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1" xfId="1" applyNumberFormat="1" applyFont="1" applyBorder="1" applyAlignment="1">
      <alignment horizontal="center" vertical="center" wrapText="1"/>
    </xf>
    <xf numFmtId="166" fontId="10" fillId="0" borderId="2" xfId="1" applyNumberFormat="1" applyFont="1" applyBorder="1" applyAlignment="1">
      <alignment horizontal="center" vertical="center" wrapText="1"/>
    </xf>
    <xf numFmtId="166" fontId="11" fillId="0" borderId="2" xfId="0" applyNumberFormat="1" applyFont="1" applyBorder="1" applyAlignment="1">
      <alignment horizontal="center" vertical="center" wrapText="1"/>
    </xf>
    <xf numFmtId="166" fontId="10" fillId="0" borderId="1" xfId="1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/>
    <xf numFmtId="0" fontId="6" fillId="2" borderId="0" xfId="0" applyFont="1" applyFill="1" applyAlignment="1">
      <alignment horizontal="center"/>
    </xf>
    <xf numFmtId="164" fontId="10" fillId="0" borderId="1" xfId="0" applyNumberFormat="1" applyFont="1" applyBorder="1" applyAlignment="1">
      <alignment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2" fontId="8" fillId="0" borderId="1" xfId="1" applyNumberFormat="1" applyFont="1" applyBorder="1" applyAlignment="1">
      <alignment horizontal="center" vertical="center" wrapText="1"/>
    </xf>
    <xf numFmtId="171" fontId="8" fillId="0" borderId="1" xfId="0" applyNumberFormat="1" applyFont="1" applyBorder="1" applyAlignment="1">
      <alignment horizontal="center" vertical="center" wrapText="1"/>
    </xf>
    <xf numFmtId="166" fontId="8" fillId="0" borderId="1" xfId="1" applyNumberFormat="1" applyFont="1" applyBorder="1"/>
    <xf numFmtId="166" fontId="7" fillId="0" borderId="1" xfId="1" applyNumberFormat="1" applyFont="1" applyBorder="1"/>
    <xf numFmtId="170" fontId="10" fillId="0" borderId="1" xfId="0" applyNumberFormat="1" applyFont="1" applyBorder="1" applyAlignment="1">
      <alignment horizontal="center" vertical="center" wrapText="1"/>
    </xf>
    <xf numFmtId="170" fontId="11" fillId="0" borderId="1" xfId="0" applyNumberFormat="1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 wrapText="1"/>
    </xf>
    <xf numFmtId="171" fontId="11" fillId="0" borderId="1" xfId="0" applyNumberFormat="1" applyFont="1" applyBorder="1" applyAlignment="1">
      <alignment horizontal="center" vertical="center" wrapText="1"/>
    </xf>
    <xf numFmtId="171" fontId="11" fillId="0" borderId="1" xfId="0" applyNumberFormat="1" applyFont="1" applyBorder="1"/>
    <xf numFmtId="3" fontId="11" fillId="0" borderId="1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9" fontId="15" fillId="0" borderId="1" xfId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6" fillId="0" borderId="1" xfId="2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000"/>
      <color rgb="FF0000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gpju" id="{F63CEA1C-7ED0-4AA8-B29D-BC141CBA8FA4}" userId="S::cgpju@msa3.me::f89b1ab3-4d28-4b9b-ae73-a820d0831079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" dT="2026-04-05T16:34:29.67" personId="{F63CEA1C-7ED0-4AA8-B29D-BC141CBA8FA4}" id="{321AD4A1-2E42-4632-B8AD-24219C3F1667}">
    <text xml:space="preserve">Hardcoded as per annual report. Small difference vs. formula due to rounding in reported figures. </text>
  </threadedComment>
  <threadedComment ref="D20" dT="2026-04-05T16:34:47.13" personId="{F63CEA1C-7ED0-4AA8-B29D-BC141CBA8FA4}" id="{3F8DF2F0-C545-4734-8A5B-9955287127CD}">
    <text xml:space="preserve">Hardcoded as per annual report. Small difference vs. formula due to rounding in reported figures. </text>
  </threadedComment>
  <threadedComment ref="E20" dT="2026-04-05T16:34:55.13" personId="{F63CEA1C-7ED0-4AA8-B29D-BC141CBA8FA4}" id="{F44565EE-1864-4526-82CA-82FE8D03FB97}">
    <text xml:space="preserve">Hardcoded as per annual report. Small difference vs. formula due to rounding in reported figures. </text>
  </threadedComment>
  <threadedComment ref="F20" dT="2026-04-05T16:35:00.25" personId="{F63CEA1C-7ED0-4AA8-B29D-BC141CBA8FA4}" id="{91E560F3-4580-44C7-94C7-E0834D704CA2}">
    <text xml:space="preserve">Hardcoded as per annual report. Small difference vs. formula due to rounding in reported figures. </text>
  </threadedComment>
  <threadedComment ref="G20" dT="2026-04-05T16:35:04.51" personId="{F63CEA1C-7ED0-4AA8-B29D-BC141CBA8FA4}" id="{68D1DAD9-A9CF-4EC7-BC47-FAF6DAE04F3A}">
    <text xml:space="preserve">Hardcoded as per annual report. Small difference vs. formula due to rounding in reported figures.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AC1F-14A7-41E9-9A8C-D7AAAB0CAF67}">
  <sheetPr codeName="Sheet1"/>
  <dimension ref="A1:P17"/>
  <sheetViews>
    <sheetView showGridLines="0" tabSelected="1" workbookViewId="0">
      <selection activeCell="B7" sqref="B7:O7"/>
    </sheetView>
  </sheetViews>
  <sheetFormatPr defaultRowHeight="14" x14ac:dyDescent="0.3"/>
  <cols>
    <col min="1" max="1" width="2.6328125" style="1" customWidth="1"/>
    <col min="2" max="7" width="8.7265625" style="1"/>
    <col min="8" max="8" width="7.1796875" style="1" customWidth="1"/>
    <col min="9" max="16384" width="8.7265625" style="1"/>
  </cols>
  <sheetData>
    <row r="1" spans="1:16" s="95" customFormat="1" ht="30" customHeight="1" x14ac:dyDescent="0.35">
      <c r="B1" s="94" t="s">
        <v>220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6" ht="25" customHeight="1" x14ac:dyDescent="0.3">
      <c r="A2" s="3"/>
      <c r="B2" s="13" t="e" vm="1">
        <v>#VALUE!</v>
      </c>
      <c r="C2" s="103" t="s">
        <v>221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  <c r="P2" s="96"/>
    </row>
    <row r="3" spans="1:1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">
      <c r="A4" s="3"/>
      <c r="B4" s="97" t="s">
        <v>232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3"/>
    </row>
    <row r="5" spans="1:1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3"/>
      <c r="B6" s="98" t="s">
        <v>233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3"/>
    </row>
    <row r="7" spans="1:16" x14ac:dyDescent="0.3">
      <c r="A7" s="3"/>
      <c r="B7" s="98" t="s">
        <v>234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3"/>
    </row>
    <row r="8" spans="1:1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8" customHeight="1" x14ac:dyDescent="0.3">
      <c r="A10" s="95"/>
      <c r="B10" s="106" t="s">
        <v>226</v>
      </c>
      <c r="C10" s="102"/>
      <c r="D10" s="102"/>
      <c r="E10" s="102"/>
      <c r="F10" s="95"/>
      <c r="G10" s="106" t="s">
        <v>222</v>
      </c>
      <c r="H10" s="102"/>
      <c r="I10" s="102"/>
      <c r="J10" s="102"/>
      <c r="K10" s="95"/>
      <c r="L10" s="106" t="s">
        <v>239</v>
      </c>
      <c r="M10" s="102"/>
      <c r="N10" s="102"/>
      <c r="O10" s="102"/>
      <c r="P10" s="3"/>
    </row>
    <row r="11" spans="1:16" ht="36" customHeight="1" x14ac:dyDescent="0.3">
      <c r="A11" s="3"/>
      <c r="B11" s="107" t="s">
        <v>227</v>
      </c>
      <c r="C11" s="107"/>
      <c r="D11" s="107"/>
      <c r="E11" s="107"/>
      <c r="F11" s="3"/>
      <c r="G11" s="99" t="s">
        <v>223</v>
      </c>
      <c r="H11" s="99"/>
      <c r="I11" s="100">
        <f>DCF!C39</f>
        <v>2083.6</v>
      </c>
      <c r="J11" s="100"/>
      <c r="K11" s="3"/>
      <c r="L11" s="108" t="s">
        <v>235</v>
      </c>
      <c r="M11" s="108"/>
      <c r="N11" s="108"/>
      <c r="O11" s="108"/>
      <c r="P11" s="3"/>
    </row>
    <row r="12" spans="1:16" ht="47.5" customHeight="1" x14ac:dyDescent="0.3">
      <c r="A12" s="3"/>
      <c r="B12" s="107" t="s">
        <v>228</v>
      </c>
      <c r="C12" s="107"/>
      <c r="D12" s="107"/>
      <c r="E12" s="107"/>
      <c r="F12" s="3"/>
      <c r="G12" s="99" t="s">
        <v>224</v>
      </c>
      <c r="H12" s="99"/>
      <c r="I12" s="100">
        <f>DCF!C38</f>
        <v>1072.9168072051998</v>
      </c>
      <c r="J12" s="100"/>
      <c r="K12" s="3"/>
      <c r="L12" s="99" t="s">
        <v>236</v>
      </c>
      <c r="M12" s="99"/>
      <c r="N12" s="99"/>
      <c r="O12" s="99"/>
      <c r="P12" s="3"/>
    </row>
    <row r="13" spans="1:16" ht="45.5" customHeight="1" x14ac:dyDescent="0.3">
      <c r="A13" s="3"/>
      <c r="B13" s="107" t="s">
        <v>229</v>
      </c>
      <c r="C13" s="107"/>
      <c r="D13" s="107"/>
      <c r="E13" s="107"/>
      <c r="F13" s="3"/>
      <c r="G13" s="99" t="s">
        <v>225</v>
      </c>
      <c r="H13" s="99"/>
      <c r="I13" s="101">
        <f>DCF!C40</f>
        <v>-0.48506584411345754</v>
      </c>
      <c r="J13" s="101"/>
      <c r="K13" s="3"/>
      <c r="L13" s="109" t="s">
        <v>237</v>
      </c>
      <c r="M13" s="109"/>
      <c r="N13" s="109"/>
      <c r="O13" s="109"/>
      <c r="P13" s="3"/>
    </row>
    <row r="14" spans="1:16" ht="27.5" customHeight="1" x14ac:dyDescent="0.3">
      <c r="A14" s="3"/>
      <c r="B14" s="107" t="s">
        <v>230</v>
      </c>
      <c r="C14" s="107"/>
      <c r="D14" s="107"/>
      <c r="E14" s="107"/>
      <c r="F14" s="3"/>
      <c r="G14" s="99" t="s">
        <v>238</v>
      </c>
      <c r="H14" s="99"/>
      <c r="I14" s="99" t="str">
        <f>IF(I11&gt;I12,"OVERVALUED","UNDERVALUED")</f>
        <v>OVERVALUED</v>
      </c>
      <c r="J14" s="99"/>
      <c r="K14" s="3"/>
      <c r="P14" s="3"/>
    </row>
    <row r="15" spans="1:16" x14ac:dyDescent="0.3">
      <c r="A15" s="3"/>
      <c r="B15" s="107" t="s">
        <v>231</v>
      </c>
      <c r="C15" s="107"/>
      <c r="D15" s="107"/>
      <c r="E15" s="107"/>
      <c r="F15" s="3"/>
      <c r="K15" s="3"/>
      <c r="L15" s="3"/>
      <c r="M15" s="3"/>
      <c r="N15" s="3"/>
      <c r="O15" s="3"/>
      <c r="P15" s="3"/>
    </row>
    <row r="16" spans="1:1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</sheetData>
  <mergeCells count="24">
    <mergeCell ref="B1:O1"/>
    <mergeCell ref="B4:O4"/>
    <mergeCell ref="B6:O6"/>
    <mergeCell ref="B7:O7"/>
    <mergeCell ref="C2:O2"/>
    <mergeCell ref="L10:O10"/>
    <mergeCell ref="L11:O11"/>
    <mergeCell ref="L12:O12"/>
    <mergeCell ref="L13:O13"/>
    <mergeCell ref="G14:H14"/>
    <mergeCell ref="I14:J14"/>
    <mergeCell ref="G10:J10"/>
    <mergeCell ref="G11:H11"/>
    <mergeCell ref="G12:H12"/>
    <mergeCell ref="G13:H13"/>
    <mergeCell ref="I11:J11"/>
    <mergeCell ref="I12:J12"/>
    <mergeCell ref="I13:J13"/>
    <mergeCell ref="B10:E10"/>
    <mergeCell ref="B11:E11"/>
    <mergeCell ref="B12:E12"/>
    <mergeCell ref="B13:E13"/>
    <mergeCell ref="B14:E14"/>
    <mergeCell ref="B15:E15"/>
  </mergeCells>
  <hyperlinks>
    <hyperlink ref="B11" location="Assumptions!A1" display="1. ASSUMPTIONS &amp; DRIVERS" xr:uid="{374DC727-6F81-4D74-8444-DF541B49105B}"/>
    <hyperlink ref="B12" location="'Income Statement'!A1" display="2. INCOME STATEMENT" xr:uid="{B989881B-6DAC-46C7-988A-D4F3CFBFF79E}"/>
    <hyperlink ref="B13" location="'Balance Sheet'!A1" display="3. BALANCE SHEET" xr:uid="{2515FB90-D12D-4832-B94F-E605B74AD850}"/>
    <hyperlink ref="B14" location="'Cashflow Statement'!A1" display="4. CASH FLOW STATEMENT" xr:uid="{71CA94FC-942F-40D7-AAD3-F225AA47150B}"/>
    <hyperlink ref="B15" location="DCF!A1" display="5. DCF VALUATION &amp; SENSETIVITY ANALYSIS" xr:uid="{EF94E589-4649-4448-8B77-1A8959B9B7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C8C1-F896-4785-8625-25F1535C50EE}">
  <sheetPr codeName="Sheet2"/>
  <dimension ref="A1:K37"/>
  <sheetViews>
    <sheetView zoomScaleNormal="100" workbookViewId="0">
      <selection activeCell="B1" sqref="B1:K1"/>
    </sheetView>
  </sheetViews>
  <sheetFormatPr defaultRowHeight="14" x14ac:dyDescent="0.3"/>
  <cols>
    <col min="1" max="1" width="2.6328125" style="1" customWidth="1"/>
    <col min="2" max="2" width="40.6328125" style="1" customWidth="1"/>
    <col min="3" max="3" width="11" style="1" bestFit="1" customWidth="1"/>
    <col min="4" max="7" width="9.36328125" style="1" bestFit="1" customWidth="1"/>
    <col min="8" max="8" width="9" style="1" bestFit="1" customWidth="1"/>
    <col min="9" max="9" width="11.1796875" style="1" bestFit="1" customWidth="1"/>
    <col min="10" max="11" width="12.26953125" style="1" bestFit="1" customWidth="1"/>
    <col min="12" max="16384" width="8.7265625" style="1"/>
  </cols>
  <sheetData>
    <row r="1" spans="1:11" s="95" customFormat="1" ht="20" customHeight="1" x14ac:dyDescent="0.3">
      <c r="A1" s="1"/>
      <c r="B1" s="49" t="s">
        <v>143</v>
      </c>
      <c r="C1" s="49"/>
      <c r="D1" s="49"/>
      <c r="E1" s="49"/>
      <c r="F1" s="49"/>
      <c r="G1" s="49"/>
      <c r="H1" s="49"/>
      <c r="I1" s="49"/>
      <c r="J1" s="49"/>
      <c r="K1" s="49"/>
    </row>
    <row r="3" spans="1:11" x14ac:dyDescent="0.3">
      <c r="B3" s="21"/>
      <c r="C3" s="40" t="s">
        <v>20</v>
      </c>
      <c r="D3" s="40"/>
      <c r="E3" s="40"/>
      <c r="F3" s="40"/>
      <c r="G3" s="41"/>
      <c r="H3" s="40" t="s">
        <v>21</v>
      </c>
      <c r="I3" s="40"/>
      <c r="J3" s="40"/>
      <c r="K3" s="41"/>
    </row>
    <row r="4" spans="1:11" x14ac:dyDescent="0.3">
      <c r="B4" s="20"/>
      <c r="C4" s="50">
        <v>2021</v>
      </c>
      <c r="D4" s="56">
        <f>C4+1</f>
        <v>2022</v>
      </c>
      <c r="E4" s="56">
        <f t="shared" ref="E4:K4" si="0">D4+1</f>
        <v>2023</v>
      </c>
      <c r="F4" s="56">
        <f t="shared" si="0"/>
        <v>2024</v>
      </c>
      <c r="G4" s="56">
        <f t="shared" si="0"/>
        <v>2025</v>
      </c>
      <c r="H4" s="56">
        <f t="shared" si="0"/>
        <v>2026</v>
      </c>
      <c r="I4" s="56">
        <f t="shared" si="0"/>
        <v>2027</v>
      </c>
      <c r="J4" s="56">
        <f t="shared" si="0"/>
        <v>2028</v>
      </c>
      <c r="K4" s="56">
        <f t="shared" si="0"/>
        <v>2029</v>
      </c>
    </row>
    <row r="5" spans="1:11" x14ac:dyDescent="0.3">
      <c r="B5" s="14" t="s">
        <v>144</v>
      </c>
      <c r="C5" s="15"/>
      <c r="D5" s="15"/>
      <c r="E5" s="15"/>
      <c r="F5" s="15"/>
      <c r="G5" s="15"/>
      <c r="H5" s="15"/>
      <c r="I5" s="15"/>
      <c r="J5" s="15"/>
      <c r="K5" s="15"/>
    </row>
    <row r="6" spans="1:11" x14ac:dyDescent="0.3">
      <c r="B6" s="16" t="s">
        <v>2</v>
      </c>
      <c r="C6" s="57">
        <f>'Income Statement'!C6</f>
        <v>47028</v>
      </c>
      <c r="D6" s="57">
        <f>'Income Statement'!D6</f>
        <v>52446</v>
      </c>
      <c r="E6" s="57">
        <f>'Income Statement'!E6</f>
        <v>60580</v>
      </c>
      <c r="F6" s="57">
        <f>'Income Statement'!F6</f>
        <v>61896</v>
      </c>
      <c r="G6" s="57">
        <f>'Income Statement'!G6</f>
        <v>63121</v>
      </c>
      <c r="H6" s="58">
        <f>G6+(H7*G6)</f>
        <v>66908.259999999995</v>
      </c>
      <c r="I6" s="58">
        <f t="shared" ref="I6:K6" si="1">H6+(I7*H6)</f>
        <v>71591.838199999998</v>
      </c>
      <c r="J6" s="58">
        <f t="shared" si="1"/>
        <v>77319.185255999997</v>
      </c>
      <c r="K6" s="58">
        <f t="shared" si="1"/>
        <v>83504.720076479993</v>
      </c>
    </row>
    <row r="7" spans="1:11" x14ac:dyDescent="0.3">
      <c r="B7" s="16" t="s">
        <v>146</v>
      </c>
      <c r="C7" s="15"/>
      <c r="D7" s="59">
        <f>(D6/C6)-1</f>
        <v>0.11520796121459553</v>
      </c>
      <c r="E7" s="59">
        <f t="shared" ref="E7:G7" si="2">(E6/D6)-1</f>
        <v>0.15509285741524614</v>
      </c>
      <c r="F7" s="59">
        <f t="shared" si="2"/>
        <v>2.1723341036645749E-2</v>
      </c>
      <c r="G7" s="59">
        <f t="shared" si="2"/>
        <v>1.9791262763344974E-2</v>
      </c>
      <c r="H7" s="51">
        <v>0.06</v>
      </c>
      <c r="I7" s="52">
        <v>7.0000000000000007E-2</v>
      </c>
      <c r="J7" s="52">
        <v>0.08</v>
      </c>
      <c r="K7" s="51">
        <v>0.08</v>
      </c>
    </row>
    <row r="8" spans="1:11" x14ac:dyDescent="0.3">
      <c r="B8" s="16" t="s">
        <v>3</v>
      </c>
      <c r="C8" s="57">
        <f>'Income Statement'!C7</f>
        <v>410</v>
      </c>
      <c r="D8" s="57">
        <f>'Income Statement'!D7</f>
        <v>258</v>
      </c>
      <c r="E8" s="57">
        <f>'Income Statement'!E7</f>
        <v>512</v>
      </c>
      <c r="F8" s="57">
        <f>'Income Statement'!F7</f>
        <v>811</v>
      </c>
      <c r="G8" s="57">
        <f>'Income Statement'!G7</f>
        <v>1017</v>
      </c>
      <c r="H8" s="58">
        <f>G8+(H9*G8)</f>
        <v>1149.21</v>
      </c>
      <c r="I8" s="58">
        <f t="shared" ref="I8:K8" si="3">H8+(I9*H8)</f>
        <v>1298.6073000000001</v>
      </c>
      <c r="J8" s="58">
        <f t="shared" si="3"/>
        <v>1467.4262490000001</v>
      </c>
      <c r="K8" s="58">
        <f t="shared" si="3"/>
        <v>1658.19166137</v>
      </c>
    </row>
    <row r="9" spans="1:11" x14ac:dyDescent="0.3">
      <c r="B9" s="16" t="s">
        <v>145</v>
      </c>
      <c r="C9" s="15"/>
      <c r="D9" s="59">
        <f>(D8/C8)-1</f>
        <v>-0.37073170731707317</v>
      </c>
      <c r="E9" s="59">
        <f t="shared" ref="E9:G9" si="4">(E8/D8)-1</f>
        <v>0.98449612403100772</v>
      </c>
      <c r="F9" s="59">
        <f t="shared" si="4"/>
        <v>0.583984375</v>
      </c>
      <c r="G9" s="59">
        <f t="shared" si="4"/>
        <v>0.25400739827373608</v>
      </c>
      <c r="H9" s="51">
        <v>0.13</v>
      </c>
      <c r="I9" s="51">
        <v>0.13</v>
      </c>
      <c r="J9" s="51">
        <v>0.13</v>
      </c>
      <c r="K9" s="51">
        <v>0.13</v>
      </c>
    </row>
    <row r="10" spans="1:11" x14ac:dyDescent="0.3">
      <c r="B10" s="4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B11" s="18" t="s">
        <v>147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28" x14ac:dyDescent="0.3">
      <c r="B12" s="17" t="s">
        <v>148</v>
      </c>
      <c r="C12" s="60">
        <f>('Income Statement'!C6-'Income Statement'!N11)/'Income Statement'!C6</f>
        <v>0.52904652547418562</v>
      </c>
      <c r="D12" s="60">
        <f>('Income Statement'!D6-'Income Statement'!O11)/'Income Statement'!D6</f>
        <v>0.50930480875567252</v>
      </c>
      <c r="E12" s="60">
        <f>('Income Statement'!E6-'Income Statement'!P11)/'Income Statement'!E6</f>
        <v>0.4764608781776164</v>
      </c>
      <c r="F12" s="60">
        <f>('Income Statement'!F6-'Income Statement'!Q11)/'Income Statement'!F6</f>
        <v>0.51919348584722758</v>
      </c>
      <c r="G12" s="60">
        <f>('Income Statement'!G6-'Income Statement'!R11)/'Income Statement'!G6</f>
        <v>0.51556534275439236</v>
      </c>
      <c r="H12" s="61">
        <f>AVERAGE($F$12:$G$12)</f>
        <v>0.51737941430080991</v>
      </c>
      <c r="I12" s="61">
        <f>AVERAGE($F$12:$G$12)</f>
        <v>0.51737941430080991</v>
      </c>
      <c r="J12" s="61">
        <f>AVERAGE($F$12:$G$12)</f>
        <v>0.51737941430080991</v>
      </c>
      <c r="K12" s="61">
        <f>AVERAGE($F$12:$G$12)</f>
        <v>0.51737941430080991</v>
      </c>
    </row>
    <row r="13" spans="1:11" x14ac:dyDescent="0.3">
      <c r="B13" s="16" t="s">
        <v>149</v>
      </c>
      <c r="C13" s="62">
        <f>'Income Statement'!N13/'Income Statement'!C6</f>
        <v>0.2534447563153866</v>
      </c>
      <c r="D13" s="62">
        <f>'Income Statement'!O13/'Income Statement'!D6</f>
        <v>0.24804560881668763</v>
      </c>
      <c r="E13" s="62">
        <f>'Income Statement'!P13/'Income Statement'!E6</f>
        <v>0.2401122482667547</v>
      </c>
      <c r="F13" s="62">
        <f>'Income Statement'!Q13/'Income Statement'!F6</f>
        <v>0.24453922709060361</v>
      </c>
      <c r="G13" s="62">
        <f>'Income Statement'!R13/'Income Statement'!G6</f>
        <v>0.24500562411875604</v>
      </c>
      <c r="H13" s="63">
        <f>AVERAGE($F$13:$G$13)</f>
        <v>0.24477242560467982</v>
      </c>
      <c r="I13" s="63">
        <f>AVERAGE($F$13:$G$13)</f>
        <v>0.24477242560467982</v>
      </c>
      <c r="J13" s="63">
        <f>AVERAGE($F$13:$G$13)</f>
        <v>0.24477242560467982</v>
      </c>
      <c r="K13" s="63">
        <f>AVERAGE($F$13:$G$13)</f>
        <v>0.24477242560467982</v>
      </c>
    </row>
    <row r="14" spans="1:11" x14ac:dyDescent="0.3">
      <c r="B14" s="16" t="s">
        <v>150</v>
      </c>
      <c r="C14" s="62">
        <f>'Income Statement'!N15/'Income Statement'!C6</f>
        <v>0.23060729778004593</v>
      </c>
      <c r="D14" s="62">
        <f>'Income Statement'!O15/'Income Statement'!D6</f>
        <v>0.22724325973382145</v>
      </c>
      <c r="E14" s="62">
        <f>'Income Statement'!P15/'Income Statement'!E6</f>
        <v>0.22134367778144604</v>
      </c>
      <c r="F14" s="62">
        <f>'Income Statement'!Q15/'Income Statement'!F6</f>
        <v>0.22489336952307096</v>
      </c>
      <c r="G14" s="62">
        <f>'Income Statement'!R15/'Income Statement'!G6</f>
        <v>0.223538917317533</v>
      </c>
      <c r="H14" s="63">
        <f>AVERAGE($F$14:$G$14)</f>
        <v>0.22421614342030199</v>
      </c>
      <c r="I14" s="63">
        <f>AVERAGE($F$14:$G$14)</f>
        <v>0.22421614342030199</v>
      </c>
      <c r="J14" s="63">
        <f>AVERAGE($F$14:$G$14)</f>
        <v>0.22421614342030199</v>
      </c>
      <c r="K14" s="63">
        <f>AVERAGE($F$14:$G$14)</f>
        <v>0.22421614342030199</v>
      </c>
    </row>
    <row r="15" spans="1:11" x14ac:dyDescent="0.3">
      <c r="B15" s="16" t="s">
        <v>151</v>
      </c>
      <c r="C15" s="62">
        <f>-('Income Statement'!C25+'Income Statement'!C26)/'Income Statement'!C22</f>
        <v>0.24570997548557422</v>
      </c>
      <c r="D15" s="62">
        <f>-('Income Statement'!D25+'Income Statement'!D26)/'Income Statement'!D22</f>
        <v>0.25155802593902643</v>
      </c>
      <c r="E15" s="62">
        <f>-('Income Statement'!E25+'Income Statement'!E26)/'Income Statement'!E22</f>
        <v>0.23986511802173099</v>
      </c>
      <c r="F15" s="62">
        <f>-('Income Statement'!F25+'Income Statement'!F26)/'Income Statement'!F22</f>
        <v>0.26166882091052707</v>
      </c>
      <c r="G15" s="62">
        <f>-('Income Statement'!G25+'Income Statement'!G26)/'Income Statement'!G22</f>
        <v>0.25972944849115503</v>
      </c>
      <c r="H15" s="63">
        <f>AVERAGE($F$15:$G$15)</f>
        <v>0.26069913470084105</v>
      </c>
      <c r="I15" s="63">
        <f>AVERAGE($F$15:$G$15)</f>
        <v>0.26069913470084105</v>
      </c>
      <c r="J15" s="63">
        <f>AVERAGE($F$15:$G$15)</f>
        <v>0.26069913470084105</v>
      </c>
      <c r="K15" s="63">
        <f>AVERAGE($F$15:$G$15)</f>
        <v>0.26069913470084105</v>
      </c>
    </row>
    <row r="16" spans="1:11" x14ac:dyDescent="0.3">
      <c r="B16" s="4"/>
      <c r="C16" s="3"/>
      <c r="D16" s="3"/>
      <c r="E16" s="3"/>
      <c r="F16" s="3"/>
      <c r="G16" s="3"/>
      <c r="H16" s="3"/>
      <c r="I16" s="3"/>
      <c r="J16" s="3"/>
      <c r="K16" s="3"/>
    </row>
    <row r="17" spans="2:11" x14ac:dyDescent="0.3">
      <c r="B17" s="2" t="s">
        <v>152</v>
      </c>
      <c r="C17" s="3"/>
      <c r="D17" s="3"/>
      <c r="E17" s="3"/>
      <c r="F17" s="3"/>
      <c r="G17" s="3"/>
      <c r="H17" s="3"/>
      <c r="I17" s="3"/>
      <c r="J17" s="3"/>
      <c r="K17" s="3"/>
    </row>
    <row r="18" spans="2:11" ht="28" x14ac:dyDescent="0.3">
      <c r="B18" s="16" t="s">
        <v>153</v>
      </c>
      <c r="C18" s="64">
        <f>('Balance Sheet'!C26/'Income Statement'!C6)*365</f>
        <v>13.644424598111764</v>
      </c>
      <c r="D18" s="64">
        <f>('Balance Sheet'!D26/'Income Statement'!D6)*365</f>
        <v>15.561529954619989</v>
      </c>
      <c r="E18" s="64">
        <f>('Balance Sheet'!E26/'Income Statement'!E6)*365</f>
        <v>18.551254539451964</v>
      </c>
      <c r="F18" s="64">
        <f>('Balance Sheet'!F26/'Income Statement'!F6)*365</f>
        <v>17.673274525009692</v>
      </c>
      <c r="G18" s="64">
        <f>('Balance Sheet'!G26/'Income Statement'!G6)*365</f>
        <v>22.08353796676225</v>
      </c>
      <c r="H18" s="53">
        <v>20</v>
      </c>
      <c r="I18" s="53">
        <v>20</v>
      </c>
      <c r="J18" s="53">
        <v>20</v>
      </c>
      <c r="K18" s="53">
        <v>20</v>
      </c>
    </row>
    <row r="19" spans="2:11" ht="28" x14ac:dyDescent="0.3">
      <c r="B19" s="16" t="s">
        <v>154</v>
      </c>
      <c r="C19" s="64">
        <f>('Balance Sheet'!C22/('Income Statement'!C11+'Income Statement'!C12+'Income Statement'!C13))*365</f>
        <v>58.982075130937332</v>
      </c>
      <c r="D19" s="64">
        <f>('Balance Sheet'!D22/('Income Statement'!D11+'Income Statement'!D12+'Income Statement'!D13))*365</f>
        <v>58.093646784534677</v>
      </c>
      <c r="E19" s="64">
        <f>('Balance Sheet'!E22/('Income Statement'!E11+'Income Statement'!E12+'Income Statement'!E13))*365</f>
        <v>48.922152856602345</v>
      </c>
      <c r="F19" s="64">
        <f>('Balance Sheet'!F22/('Income Statement'!F11+'Income Statement'!F12+'Income Statement'!F13))*365</f>
        <v>49.328965053763447</v>
      </c>
      <c r="G19" s="64">
        <f>('Balance Sheet'!G22/('Income Statement'!G11+'Income Statement'!G12+'Income Statement'!G13))*365</f>
        <v>52.700470926810127</v>
      </c>
      <c r="H19" s="53">
        <v>50</v>
      </c>
      <c r="I19" s="53">
        <v>50</v>
      </c>
      <c r="J19" s="53">
        <v>50</v>
      </c>
      <c r="K19" s="53">
        <v>50</v>
      </c>
    </row>
    <row r="20" spans="2:11" ht="28" x14ac:dyDescent="0.3">
      <c r="B20" s="16" t="s">
        <v>155</v>
      </c>
      <c r="C20" s="64">
        <f>(('Balance Sheet'!C55+'Balance Sheet'!C56)/('Income Statement'!C11+'Income Statement'!C12+'Income Statement'!C13))*365</f>
        <v>145.05734152067905</v>
      </c>
      <c r="D20" s="64">
        <f>(('Balance Sheet'!D55+'Balance Sheet'!D56)/('Income Statement'!D11+'Income Statement'!D12+'Income Statement'!D13))*365</f>
        <v>128.61161841849619</v>
      </c>
      <c r="E20" s="64">
        <f>(('Balance Sheet'!E55+'Balance Sheet'!E56)/('Income Statement'!E11+'Income Statement'!E12+'Income Statement'!E13))*365</f>
        <v>110.18129650649514</v>
      </c>
      <c r="F20" s="64">
        <f>(('Balance Sheet'!F55+'Balance Sheet'!F56)/('Income Statement'!F11+'Income Statement'!F12+'Income Statement'!F13))*365</f>
        <v>128.60853494623657</v>
      </c>
      <c r="G20" s="64">
        <f>(('Balance Sheet'!G55+'Balance Sheet'!G56)/('Income Statement'!G11+'Income Statement'!G12+'Income Statement'!G13))*365</f>
        <v>135.06360782261757</v>
      </c>
      <c r="H20" s="53">
        <v>130</v>
      </c>
      <c r="I20" s="53">
        <v>130</v>
      </c>
      <c r="J20" s="53">
        <v>130</v>
      </c>
      <c r="K20" s="53">
        <v>130</v>
      </c>
    </row>
    <row r="21" spans="2:11" x14ac:dyDescent="0.3">
      <c r="B21" s="4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3">
      <c r="B22" s="2" t="s">
        <v>156</v>
      </c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3">
      <c r="B23" s="16" t="s">
        <v>157</v>
      </c>
      <c r="C23" s="53">
        <v>4051</v>
      </c>
      <c r="D23" s="53">
        <v>919</v>
      </c>
      <c r="E23" s="53">
        <v>1042</v>
      </c>
      <c r="F23" s="53">
        <v>1318</v>
      </c>
      <c r="G23" s="53">
        <v>1149</v>
      </c>
      <c r="H23" s="15"/>
      <c r="I23" s="15"/>
      <c r="J23" s="15"/>
      <c r="K23" s="15"/>
    </row>
    <row r="24" spans="2:11" x14ac:dyDescent="0.3">
      <c r="B24" s="16" t="s">
        <v>158</v>
      </c>
      <c r="C24" s="62">
        <f>C23/'Income Statement'!C6</f>
        <v>8.6140171812537206E-2</v>
      </c>
      <c r="D24" s="62">
        <f>D23/'Income Statement'!D6</f>
        <v>1.7522785341112762E-2</v>
      </c>
      <c r="E24" s="62">
        <f>E23/'Income Statement'!E6</f>
        <v>1.7200396170353252E-2</v>
      </c>
      <c r="F24" s="62">
        <f>F23/'Income Statement'!F6</f>
        <v>2.1293783120072379E-2</v>
      </c>
      <c r="G24" s="62">
        <f>G23/'Income Statement'!G6</f>
        <v>1.8203133663915336E-2</v>
      </c>
      <c r="H24" s="54">
        <v>0.02</v>
      </c>
      <c r="I24" s="54">
        <v>0.02</v>
      </c>
      <c r="J24" s="54">
        <v>0.02</v>
      </c>
      <c r="K24" s="54">
        <v>0.02</v>
      </c>
    </row>
    <row r="25" spans="2:11" x14ac:dyDescent="0.3">
      <c r="B25" s="16" t="s">
        <v>168</v>
      </c>
      <c r="C25" s="62">
        <f>'Income Statement'!C16/'Balance Sheet'!C7</f>
        <v>0.17560497056899935</v>
      </c>
      <c r="D25" s="62">
        <f>'Income Statement'!D16/'Balance Sheet'!D7</f>
        <v>0.17685200194520992</v>
      </c>
      <c r="E25" s="62">
        <f>'Income Statement'!E16/'Balance Sheet'!E7</f>
        <v>0.16362066484386242</v>
      </c>
      <c r="F25" s="62">
        <f>'Income Statement'!F16/'Balance Sheet'!F7</f>
        <v>0.15141327356493586</v>
      </c>
      <c r="G25" s="62">
        <f>'Income Statement'!G16/'Balance Sheet'!G7</f>
        <v>0.15710144927536232</v>
      </c>
      <c r="H25" s="15"/>
      <c r="I25" s="15"/>
      <c r="J25" s="15"/>
      <c r="K25" s="15"/>
    </row>
    <row r="26" spans="2:11" x14ac:dyDescent="0.3">
      <c r="B26" s="16" t="s">
        <v>169</v>
      </c>
      <c r="C26" s="62">
        <f>'Income Statement'!C16/'Income Statement'!C6</f>
        <v>2.2837458535340648E-2</v>
      </c>
      <c r="D26" s="62">
        <f>'Income Statement'!D16/'Income Statement'!D6</f>
        <v>2.0802349082866187E-2</v>
      </c>
      <c r="E26" s="62">
        <f>'Income Statement'!E16/'Income Statement'!E6</f>
        <v>1.8768570485308684E-2</v>
      </c>
      <c r="F26" s="62">
        <f>'Income Statement'!F16/'Income Statement'!F6</f>
        <v>1.9645857567532635E-2</v>
      </c>
      <c r="G26" s="62">
        <f>'Income Statement'!G16/'Income Statement'!G6</f>
        <v>2.1466706801223048E-2</v>
      </c>
      <c r="H26" s="63">
        <f>AVERAGE($C$26:$G$26)</f>
        <v>2.070418849445424E-2</v>
      </c>
      <c r="I26" s="63">
        <f>AVERAGE($C$26:$G$26)</f>
        <v>2.070418849445424E-2</v>
      </c>
      <c r="J26" s="63">
        <f>AVERAGE($C$26:$G$26)</f>
        <v>2.070418849445424E-2</v>
      </c>
      <c r="K26" s="63">
        <f>AVERAGE($C$26:$G$26)</f>
        <v>2.070418849445424E-2</v>
      </c>
    </row>
    <row r="27" spans="2:11" x14ac:dyDescent="0.3">
      <c r="B27" s="4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3">
      <c r="B28" s="2" t="s">
        <v>159</v>
      </c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3">
      <c r="B29" s="16" t="s">
        <v>160</v>
      </c>
      <c r="C29" s="65">
        <f>SUM(C31:C33)</f>
        <v>31</v>
      </c>
      <c r="D29" s="65">
        <f t="shared" ref="D29:G29" si="5">SUM(D31:D33)</f>
        <v>34</v>
      </c>
      <c r="E29" s="65">
        <f t="shared" si="5"/>
        <v>39</v>
      </c>
      <c r="F29" s="65">
        <f t="shared" si="5"/>
        <v>42</v>
      </c>
      <c r="G29" s="65">
        <f t="shared" si="5"/>
        <v>53</v>
      </c>
      <c r="H29" s="15"/>
      <c r="I29" s="15"/>
      <c r="J29" s="15"/>
      <c r="K29" s="15"/>
    </row>
    <row r="30" spans="2:11" x14ac:dyDescent="0.3">
      <c r="B30" s="16" t="s">
        <v>170</v>
      </c>
      <c r="C30" s="65">
        <f>C31+C32</f>
        <v>31</v>
      </c>
      <c r="D30" s="65">
        <f>D31+D32</f>
        <v>34</v>
      </c>
      <c r="E30" s="65">
        <f>E31+E32</f>
        <v>39</v>
      </c>
      <c r="F30" s="65">
        <f>F31+F32</f>
        <v>42</v>
      </c>
      <c r="G30" s="65">
        <f>G31+G32</f>
        <v>43</v>
      </c>
      <c r="H30" s="55">
        <v>40</v>
      </c>
      <c r="I30" s="55">
        <v>40</v>
      </c>
      <c r="J30" s="55">
        <v>40</v>
      </c>
      <c r="K30" s="55">
        <v>40</v>
      </c>
    </row>
    <row r="31" spans="2:11" x14ac:dyDescent="0.3">
      <c r="B31" s="16" t="s">
        <v>162</v>
      </c>
      <c r="C31" s="55">
        <v>14</v>
      </c>
      <c r="D31" s="55">
        <v>15</v>
      </c>
      <c r="E31" s="55">
        <v>17</v>
      </c>
      <c r="F31" s="55">
        <v>18</v>
      </c>
      <c r="G31" s="55">
        <v>19</v>
      </c>
      <c r="H31" s="15"/>
      <c r="I31" s="15"/>
      <c r="J31" s="15"/>
      <c r="K31" s="15"/>
    </row>
    <row r="32" spans="2:11" x14ac:dyDescent="0.3">
      <c r="B32" s="16" t="s">
        <v>163</v>
      </c>
      <c r="C32" s="55">
        <v>17</v>
      </c>
      <c r="D32" s="55">
        <v>19</v>
      </c>
      <c r="E32" s="55">
        <v>22</v>
      </c>
      <c r="F32" s="55">
        <v>24</v>
      </c>
      <c r="G32" s="55">
        <v>24</v>
      </c>
      <c r="H32" s="15"/>
      <c r="I32" s="15"/>
      <c r="J32" s="15"/>
      <c r="K32" s="15"/>
    </row>
    <row r="33" spans="2:11" x14ac:dyDescent="0.3">
      <c r="B33" s="16" t="s">
        <v>164</v>
      </c>
      <c r="C33" s="55">
        <v>0</v>
      </c>
      <c r="D33" s="55">
        <v>0</v>
      </c>
      <c r="E33" s="55">
        <v>0</v>
      </c>
      <c r="F33" s="55">
        <v>0</v>
      </c>
      <c r="G33" s="55">
        <v>10</v>
      </c>
      <c r="H33" s="15"/>
      <c r="I33" s="15"/>
      <c r="J33" s="15"/>
      <c r="K33" s="15"/>
    </row>
    <row r="34" spans="2:11" x14ac:dyDescent="0.3">
      <c r="B34" s="16" t="s">
        <v>161</v>
      </c>
      <c r="C34" s="62">
        <f>(C30*'Balance Sheet'!C37)/'Income Statement'!C27</f>
        <v>0.91062500000000002</v>
      </c>
      <c r="D34" s="62">
        <f>(D30*'Balance Sheet'!D37)/'Income Statement'!D27</f>
        <v>0.89906605153595143</v>
      </c>
      <c r="E34" s="62">
        <f>(E30*'Balance Sheet'!E37)/'Income Statement'!E27</f>
        <v>0.90348974763406942</v>
      </c>
      <c r="F34" s="62">
        <f>(F30*'Balance Sheet'!F37)/'Income Statement'!F27</f>
        <v>0.95992997471309083</v>
      </c>
      <c r="G34" s="62">
        <f>(G30*'Balance Sheet'!G37)/'Income Statement'!G27</f>
        <v>0.94695904788679597</v>
      </c>
      <c r="H34" s="15"/>
      <c r="I34" s="15"/>
      <c r="J34" s="15"/>
      <c r="K34" s="15"/>
    </row>
    <row r="35" spans="2:11" x14ac:dyDescent="0.3">
      <c r="B35" s="16" t="s">
        <v>219</v>
      </c>
      <c r="C35" s="15"/>
      <c r="D35" s="15"/>
      <c r="E35" s="15"/>
      <c r="F35" s="15"/>
      <c r="G35" s="15"/>
      <c r="H35" s="54">
        <v>0.05</v>
      </c>
      <c r="I35" s="54">
        <v>0.05</v>
      </c>
      <c r="J35" s="54">
        <v>0.05</v>
      </c>
      <c r="K35" s="54">
        <v>0.05</v>
      </c>
    </row>
    <row r="36" spans="2:11" x14ac:dyDescent="0.3">
      <c r="B36" s="16" t="s">
        <v>172</v>
      </c>
      <c r="C36" s="62">
        <f>'Income Statement'!C14/'Income Statement'!C6</f>
        <v>5.0140341923960191E-2</v>
      </c>
      <c r="D36" s="62">
        <f>'Income Statement'!D14/'Income Statement'!D6</f>
        <v>4.8526103039316627E-2</v>
      </c>
      <c r="E36" s="62">
        <f>'Income Statement'!E14/'Income Statement'!E6</f>
        <v>4.7111257840871577E-2</v>
      </c>
      <c r="F36" s="62">
        <f>'Income Statement'!F14/'Income Statement'!F6</f>
        <v>4.8613803799922452E-2</v>
      </c>
      <c r="G36" s="62">
        <f>'Income Statement'!G14/'Income Statement'!G6</f>
        <v>4.8747643415028276E-2</v>
      </c>
      <c r="H36" s="63">
        <f>AVERAGE($C$36:$G$36)</f>
        <v>4.8627830003819823E-2</v>
      </c>
      <c r="I36" s="63">
        <f>AVERAGE($C$36:$G$36)</f>
        <v>4.8627830003819823E-2</v>
      </c>
      <c r="J36" s="63">
        <f>AVERAGE($C$36:$G$36)</f>
        <v>4.8627830003819823E-2</v>
      </c>
      <c r="K36" s="63">
        <f>AVERAGE($C$36:$G$36)</f>
        <v>4.8627830003819823E-2</v>
      </c>
    </row>
    <row r="37" spans="2:11" x14ac:dyDescent="0.3">
      <c r="B37" s="16" t="s">
        <v>173</v>
      </c>
      <c r="C37" s="62">
        <f>'Income Statement'!C17/'Income Statement'!C6</f>
        <v>0.23169175810155651</v>
      </c>
      <c r="D37" s="62">
        <f>'Income Statement'!D17/'Income Statement'!D6</f>
        <v>0.21563131602028754</v>
      </c>
      <c r="E37" s="62">
        <f>'Income Statement'!E17/'Income Statement'!E6</f>
        <v>0.19579068999669857</v>
      </c>
      <c r="F37" s="62">
        <f>'Income Statement'!F17/'Income Statement'!F6</f>
        <v>0.23368230580328292</v>
      </c>
      <c r="G37" s="62">
        <f>'Income Statement'!G17/'Income Statement'!G6</f>
        <v>0.23153942428035043</v>
      </c>
      <c r="H37" s="63">
        <f>AVERAGE($C$37:$G$37)</f>
        <v>0.22166709884043517</v>
      </c>
      <c r="I37" s="63">
        <f>AVERAGE($C$37:$G$37)</f>
        <v>0.22166709884043517</v>
      </c>
      <c r="J37" s="63">
        <f>AVERAGE($C$37:$G$37)</f>
        <v>0.22166709884043517</v>
      </c>
      <c r="K37" s="63">
        <f>AVERAGE($C$37:$G$37)</f>
        <v>0.22166709884043517</v>
      </c>
    </row>
  </sheetData>
  <mergeCells count="3">
    <mergeCell ref="C3:G3"/>
    <mergeCell ref="H3:K3"/>
    <mergeCell ref="B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3C89-B875-4949-A0E9-FE5F2DEED9FA}">
  <sheetPr codeName="Sheet3"/>
  <dimension ref="A1:V27"/>
  <sheetViews>
    <sheetView zoomScaleNormal="100" workbookViewId="0">
      <selection activeCell="B1" sqref="B1:K1"/>
    </sheetView>
  </sheetViews>
  <sheetFormatPr defaultRowHeight="14" x14ac:dyDescent="0.3"/>
  <cols>
    <col min="1" max="1" width="2.6328125" style="5" customWidth="1"/>
    <col min="2" max="2" width="45.6328125" style="5" customWidth="1"/>
    <col min="3" max="11" width="8.7265625" style="8"/>
    <col min="12" max="16384" width="8.7265625" style="1"/>
  </cols>
  <sheetData>
    <row r="1" spans="2:22" ht="20" customHeight="1" x14ac:dyDescent="0.3">
      <c r="B1" s="49" t="s">
        <v>0</v>
      </c>
      <c r="C1" s="39"/>
      <c r="D1" s="39"/>
      <c r="E1" s="39"/>
      <c r="F1" s="39"/>
      <c r="G1" s="39"/>
      <c r="H1" s="39"/>
      <c r="I1" s="39"/>
      <c r="J1" s="39"/>
      <c r="K1" s="39"/>
    </row>
    <row r="2" spans="2:22" x14ac:dyDescent="0.3">
      <c r="C2" s="5"/>
      <c r="D2" s="5"/>
      <c r="E2" s="5"/>
      <c r="F2" s="5"/>
      <c r="G2" s="5"/>
      <c r="H2" s="5"/>
      <c r="I2" s="5"/>
      <c r="J2" s="5"/>
      <c r="K2" s="5"/>
    </row>
    <row r="3" spans="2:22" x14ac:dyDescent="0.3">
      <c r="C3" s="38" t="s">
        <v>20</v>
      </c>
      <c r="D3" s="38"/>
      <c r="E3" s="38"/>
      <c r="F3" s="38"/>
      <c r="G3" s="38"/>
      <c r="H3" s="38" t="s">
        <v>21</v>
      </c>
      <c r="I3" s="38"/>
      <c r="J3" s="38"/>
      <c r="K3" s="38"/>
    </row>
    <row r="4" spans="2:22" x14ac:dyDescent="0.3">
      <c r="B4" s="22"/>
      <c r="C4" s="66">
        <v>2021</v>
      </c>
      <c r="D4" s="69">
        <f>C4+1</f>
        <v>2022</v>
      </c>
      <c r="E4" s="69">
        <f t="shared" ref="E4:K4" si="0">D4+1</f>
        <v>2023</v>
      </c>
      <c r="F4" s="69">
        <f t="shared" si="0"/>
        <v>2024</v>
      </c>
      <c r="G4" s="69">
        <f t="shared" si="0"/>
        <v>2025</v>
      </c>
      <c r="H4" s="69">
        <f t="shared" si="0"/>
        <v>2026</v>
      </c>
      <c r="I4" s="69">
        <f t="shared" si="0"/>
        <v>2027</v>
      </c>
      <c r="J4" s="69">
        <f t="shared" si="0"/>
        <v>2028</v>
      </c>
      <c r="K4" s="69">
        <f t="shared" si="0"/>
        <v>2029</v>
      </c>
    </row>
    <row r="5" spans="2:22" x14ac:dyDescent="0.3">
      <c r="B5" s="14" t="s">
        <v>1</v>
      </c>
      <c r="C5" s="23"/>
      <c r="D5" s="23"/>
      <c r="E5" s="23"/>
      <c r="F5" s="23"/>
      <c r="G5" s="23"/>
      <c r="H5" s="23"/>
      <c r="I5" s="23"/>
      <c r="J5" s="23"/>
      <c r="K5" s="23"/>
    </row>
    <row r="6" spans="2:22" x14ac:dyDescent="0.3">
      <c r="B6" s="16" t="s">
        <v>2</v>
      </c>
      <c r="C6" s="67">
        <v>47028</v>
      </c>
      <c r="D6" s="67">
        <v>52446</v>
      </c>
      <c r="E6" s="67">
        <v>60580</v>
      </c>
      <c r="F6" s="67">
        <v>61896</v>
      </c>
      <c r="G6" s="67">
        <v>63121</v>
      </c>
      <c r="H6" s="70">
        <f>Assumptions!H6</f>
        <v>66908.259999999995</v>
      </c>
      <c r="I6" s="70">
        <f>Assumptions!I6</f>
        <v>71591.838199999998</v>
      </c>
      <c r="J6" s="70">
        <f>Assumptions!J6</f>
        <v>77319.185255999997</v>
      </c>
      <c r="K6" s="70">
        <f>Assumptions!K6</f>
        <v>83504.720076479993</v>
      </c>
    </row>
    <row r="7" spans="2:22" x14ac:dyDescent="0.3">
      <c r="B7" s="16" t="s">
        <v>3</v>
      </c>
      <c r="C7" s="67">
        <v>410</v>
      </c>
      <c r="D7" s="67">
        <v>258</v>
      </c>
      <c r="E7" s="67">
        <v>512</v>
      </c>
      <c r="F7" s="67">
        <v>811</v>
      </c>
      <c r="G7" s="67">
        <v>1017</v>
      </c>
      <c r="H7" s="70">
        <f>Assumptions!H8</f>
        <v>1149.21</v>
      </c>
      <c r="I7" s="70">
        <f>Assumptions!I8</f>
        <v>1298.6073000000001</v>
      </c>
      <c r="J7" s="70">
        <f>Assumptions!J8</f>
        <v>1467.4262490000001</v>
      </c>
      <c r="K7" s="70">
        <f>Assumptions!K8</f>
        <v>1658.19166137</v>
      </c>
    </row>
    <row r="8" spans="2:22" x14ac:dyDescent="0.3">
      <c r="B8" s="14" t="s">
        <v>13</v>
      </c>
      <c r="C8" s="71">
        <f>SUM(C6:C7)</f>
        <v>47438</v>
      </c>
      <c r="D8" s="71">
        <f t="shared" ref="D8:K8" si="1">SUM(D6:D7)</f>
        <v>52704</v>
      </c>
      <c r="E8" s="71">
        <f t="shared" si="1"/>
        <v>61092</v>
      </c>
      <c r="F8" s="71">
        <f t="shared" si="1"/>
        <v>62707</v>
      </c>
      <c r="G8" s="71">
        <f t="shared" si="1"/>
        <v>64138</v>
      </c>
      <c r="H8" s="71">
        <f t="shared" si="1"/>
        <v>68057.47</v>
      </c>
      <c r="I8" s="71">
        <f t="shared" si="1"/>
        <v>72890.445500000002</v>
      </c>
      <c r="J8" s="71">
        <f t="shared" si="1"/>
        <v>78786.611504999993</v>
      </c>
      <c r="K8" s="71">
        <f t="shared" si="1"/>
        <v>85162.911737849994</v>
      </c>
    </row>
    <row r="9" spans="2:22" x14ac:dyDescent="0.3">
      <c r="B9" s="16"/>
      <c r="C9" s="23"/>
      <c r="D9" s="24"/>
      <c r="E9" s="23"/>
      <c r="F9" s="23"/>
      <c r="G9" s="23"/>
      <c r="H9" s="23"/>
      <c r="I9" s="23"/>
      <c r="J9" s="23"/>
      <c r="K9" s="23"/>
    </row>
    <row r="10" spans="2:22" x14ac:dyDescent="0.3">
      <c r="B10" s="14" t="s">
        <v>4</v>
      </c>
      <c r="C10" s="23"/>
      <c r="D10" s="23"/>
      <c r="E10" s="23"/>
      <c r="F10" s="23"/>
      <c r="G10" s="23"/>
      <c r="H10" s="23"/>
      <c r="I10" s="23"/>
      <c r="J10" s="23"/>
      <c r="K10" s="23"/>
      <c r="M10" s="3"/>
      <c r="N10" s="68">
        <v>2021</v>
      </c>
      <c r="O10" s="72">
        <f>N10+1</f>
        <v>2022</v>
      </c>
      <c r="P10" s="72">
        <f t="shared" ref="P10" si="2">O10+1</f>
        <v>2023</v>
      </c>
      <c r="Q10" s="72">
        <f t="shared" ref="Q10" si="3">P10+1</f>
        <v>2024</v>
      </c>
      <c r="R10" s="72">
        <f t="shared" ref="R10" si="4">Q10+1</f>
        <v>2025</v>
      </c>
      <c r="S10" s="72">
        <f t="shared" ref="S10" si="5">R10+1</f>
        <v>2026</v>
      </c>
      <c r="T10" s="72">
        <f t="shared" ref="T10" si="6">S10+1</f>
        <v>2027</v>
      </c>
      <c r="U10" s="72">
        <f t="shared" ref="U10" si="7">T10+1</f>
        <v>2028</v>
      </c>
      <c r="V10" s="73">
        <f t="shared" ref="V10" si="8">U10+1</f>
        <v>2029</v>
      </c>
    </row>
    <row r="11" spans="2:22" x14ac:dyDescent="0.3">
      <c r="B11" s="16" t="s">
        <v>5</v>
      </c>
      <c r="C11" s="67">
        <v>15432</v>
      </c>
      <c r="D11" s="67">
        <v>16446</v>
      </c>
      <c r="E11" s="67">
        <v>20212</v>
      </c>
      <c r="F11" s="67">
        <v>19257</v>
      </c>
      <c r="G11" s="67">
        <v>19458</v>
      </c>
      <c r="H11" s="74">
        <f>S11</f>
        <v>32291.30362931369</v>
      </c>
      <c r="I11" s="74">
        <f t="shared" ref="I11:K11" si="9">T11</f>
        <v>34551.69488336565</v>
      </c>
      <c r="J11" s="74">
        <f t="shared" si="9"/>
        <v>37315.830474034898</v>
      </c>
      <c r="K11" s="74">
        <f t="shared" si="9"/>
        <v>40301.096911957691</v>
      </c>
      <c r="M11" s="15" t="s">
        <v>165</v>
      </c>
      <c r="N11" s="71">
        <f>C11+C12+C13</f>
        <v>22148</v>
      </c>
      <c r="O11" s="71">
        <f t="shared" ref="O11:R11" si="10">D11+D12+D13</f>
        <v>25735</v>
      </c>
      <c r="P11" s="71">
        <f t="shared" si="10"/>
        <v>31716</v>
      </c>
      <c r="Q11" s="71">
        <f t="shared" si="10"/>
        <v>29760</v>
      </c>
      <c r="R11" s="71">
        <f t="shared" si="10"/>
        <v>30578</v>
      </c>
      <c r="S11" s="70">
        <f>H6*(1-Assumptions!H12)</f>
        <v>32291.30362931369</v>
      </c>
      <c r="T11" s="70">
        <f>I6*(1-Assumptions!I12)</f>
        <v>34551.69488336565</v>
      </c>
      <c r="U11" s="70">
        <f>J6*(1-Assumptions!J12)</f>
        <v>37315.830474034898</v>
      </c>
      <c r="V11" s="75">
        <f>K6*(1-Assumptions!K12)</f>
        <v>40301.096911957691</v>
      </c>
    </row>
    <row r="12" spans="2:22" x14ac:dyDescent="0.3">
      <c r="B12" s="16" t="s">
        <v>6</v>
      </c>
      <c r="C12" s="67">
        <v>7121</v>
      </c>
      <c r="D12" s="67">
        <v>9311</v>
      </c>
      <c r="E12" s="67">
        <v>11579</v>
      </c>
      <c r="F12" s="67">
        <v>10514</v>
      </c>
      <c r="G12" s="67">
        <v>11273</v>
      </c>
      <c r="H12" s="74"/>
      <c r="I12" s="74"/>
      <c r="J12" s="74"/>
      <c r="K12" s="74"/>
      <c r="M12" s="15"/>
      <c r="N12" s="15"/>
      <c r="O12" s="15"/>
      <c r="P12" s="15"/>
      <c r="Q12" s="15"/>
      <c r="R12" s="15"/>
      <c r="S12" s="15"/>
      <c r="T12" s="15"/>
      <c r="U12" s="15"/>
      <c r="V12" s="13"/>
    </row>
    <row r="13" spans="2:22" ht="28" x14ac:dyDescent="0.3">
      <c r="B13" s="16" t="s">
        <v>7</v>
      </c>
      <c r="C13" s="67">
        <v>-405</v>
      </c>
      <c r="D13" s="67">
        <v>-22</v>
      </c>
      <c r="E13" s="67">
        <v>-75</v>
      </c>
      <c r="F13" s="67">
        <v>-11</v>
      </c>
      <c r="G13" s="67">
        <v>-153</v>
      </c>
      <c r="H13" s="74"/>
      <c r="I13" s="74"/>
      <c r="J13" s="74"/>
      <c r="K13" s="74"/>
      <c r="M13" s="15" t="s">
        <v>166</v>
      </c>
      <c r="N13" s="71">
        <f>C20+C16</f>
        <v>11919</v>
      </c>
      <c r="O13" s="71">
        <f>D20+D16</f>
        <v>13009</v>
      </c>
      <c r="P13" s="71">
        <f>E20+E16</f>
        <v>14546</v>
      </c>
      <c r="Q13" s="71">
        <f>F20+F16</f>
        <v>15136</v>
      </c>
      <c r="R13" s="71">
        <f>G20+G16</f>
        <v>15465</v>
      </c>
      <c r="S13" s="71">
        <f t="shared" ref="S13:V13" si="11">H20+H16</f>
        <v>17266.4529948934</v>
      </c>
      <c r="T13" s="71">
        <f t="shared" si="11"/>
        <v>18552.352304535932</v>
      </c>
      <c r="U13" s="71">
        <f t="shared" si="11"/>
        <v>20114.535478898819</v>
      </c>
      <c r="V13" s="71">
        <f t="shared" si="11"/>
        <v>21810.7874859107</v>
      </c>
    </row>
    <row r="14" spans="2:22" x14ac:dyDescent="0.3">
      <c r="B14" s="16" t="s">
        <v>8</v>
      </c>
      <c r="C14" s="67">
        <v>2358</v>
      </c>
      <c r="D14" s="67">
        <v>2545</v>
      </c>
      <c r="E14" s="67">
        <v>2854</v>
      </c>
      <c r="F14" s="67">
        <v>3009</v>
      </c>
      <c r="G14" s="67">
        <v>3077</v>
      </c>
      <c r="H14" s="70">
        <f>H6*Assumptions!H36</f>
        <v>3253.6034931313775</v>
      </c>
      <c r="I14" s="70">
        <f>I6*Assumptions!I36</f>
        <v>3481.3557376505742</v>
      </c>
      <c r="J14" s="70">
        <f>J6*Assumptions!J36</f>
        <v>3759.8641966626201</v>
      </c>
      <c r="K14" s="70">
        <f>K6*Assumptions!K36</f>
        <v>4060.6533323956291</v>
      </c>
      <c r="M14" s="15"/>
      <c r="N14" s="15"/>
      <c r="O14" s="15"/>
      <c r="P14" s="15"/>
      <c r="Q14" s="15"/>
      <c r="R14" s="15"/>
      <c r="S14" s="15"/>
      <c r="T14" s="15"/>
      <c r="U14" s="15"/>
      <c r="V14" s="13"/>
    </row>
    <row r="15" spans="2:22" x14ac:dyDescent="0.3">
      <c r="B15" s="16" t="s">
        <v>9</v>
      </c>
      <c r="C15" s="67">
        <v>117</v>
      </c>
      <c r="D15" s="67">
        <v>106</v>
      </c>
      <c r="E15" s="67">
        <v>114</v>
      </c>
      <c r="F15" s="67">
        <v>334</v>
      </c>
      <c r="G15" s="67">
        <v>395</v>
      </c>
      <c r="H15" s="70">
        <f>(G15*Assumptions!H35)+G15</f>
        <v>414.75</v>
      </c>
      <c r="I15" s="70">
        <f>(H15*Assumptions!I35)+H15</f>
        <v>435.48750000000001</v>
      </c>
      <c r="J15" s="70">
        <f>(I15*Assumptions!J35)+I15</f>
        <v>457.26187500000003</v>
      </c>
      <c r="K15" s="70">
        <f>(J15*Assumptions!K35)+J15</f>
        <v>480.12496875000005</v>
      </c>
      <c r="M15" s="15" t="s">
        <v>167</v>
      </c>
      <c r="N15" s="71">
        <f>C20</f>
        <v>10845</v>
      </c>
      <c r="O15" s="71">
        <f t="shared" ref="O15:R15" si="12">D20</f>
        <v>11918</v>
      </c>
      <c r="P15" s="71">
        <f t="shared" si="12"/>
        <v>13409</v>
      </c>
      <c r="Q15" s="71">
        <f t="shared" si="12"/>
        <v>13920</v>
      </c>
      <c r="R15" s="71">
        <f t="shared" si="12"/>
        <v>14110</v>
      </c>
      <c r="S15" s="71">
        <f t="shared" ref="S15" si="13">H20</f>
        <v>15881.171768017448</v>
      </c>
      <c r="T15" s="71">
        <f t="shared" ref="T15" si="14">I20</f>
        <v>17070.101391778662</v>
      </c>
      <c r="U15" s="71">
        <f t="shared" ref="U15:V15" si="15">J20</f>
        <v>18513.704493120968</v>
      </c>
      <c r="V15" s="71">
        <f t="shared" si="15"/>
        <v>20081.890021270621</v>
      </c>
    </row>
    <row r="16" spans="2:22" x14ac:dyDescent="0.3">
      <c r="B16" s="16" t="s">
        <v>10</v>
      </c>
      <c r="C16" s="67">
        <v>1074</v>
      </c>
      <c r="D16" s="67">
        <v>1091</v>
      </c>
      <c r="E16" s="67">
        <v>1137</v>
      </c>
      <c r="F16" s="67">
        <v>1216</v>
      </c>
      <c r="G16" s="67">
        <v>1355</v>
      </c>
      <c r="H16" s="70">
        <f>Assumptions!H26*'Income Statement'!H6</f>
        <v>1385.2812268759528</v>
      </c>
      <c r="I16" s="70">
        <f>Assumptions!I26*'Income Statement'!I6</f>
        <v>1482.2509127572696</v>
      </c>
      <c r="J16" s="70">
        <f>Assumptions!J26*'Income Statement'!J6</f>
        <v>1600.8309857778511</v>
      </c>
      <c r="K16" s="70">
        <f>Assumptions!K26*'Income Statement'!K6</f>
        <v>1728.8974646400791</v>
      </c>
    </row>
    <row r="17" spans="2:11" x14ac:dyDescent="0.3">
      <c r="B17" s="16" t="s">
        <v>11</v>
      </c>
      <c r="C17" s="67">
        <v>10896</v>
      </c>
      <c r="D17" s="67">
        <v>11309</v>
      </c>
      <c r="E17" s="67">
        <v>11861</v>
      </c>
      <c r="F17" s="67">
        <v>14464</v>
      </c>
      <c r="G17" s="67">
        <v>14615</v>
      </c>
      <c r="H17" s="70">
        <f>H6*Assumptions!H37</f>
        <v>14831.359882661534</v>
      </c>
      <c r="I17" s="70">
        <f>I6*Assumptions!I37</f>
        <v>15869.555074447842</v>
      </c>
      <c r="J17" s="70">
        <f>J6*Assumptions!J37</f>
        <v>17139.119480403668</v>
      </c>
      <c r="K17" s="70">
        <f>K6*Assumptions!K37</f>
        <v>18510.249038835962</v>
      </c>
    </row>
    <row r="18" spans="2:11" x14ac:dyDescent="0.3">
      <c r="B18" s="14" t="s">
        <v>12</v>
      </c>
      <c r="C18" s="71">
        <f>SUM(C11:C17)</f>
        <v>36593</v>
      </c>
      <c r="D18" s="71">
        <f t="shared" ref="D18:K18" si="16">SUM(D11:D17)</f>
        <v>40786</v>
      </c>
      <c r="E18" s="71">
        <f t="shared" si="16"/>
        <v>47682</v>
      </c>
      <c r="F18" s="71">
        <f t="shared" si="16"/>
        <v>48783</v>
      </c>
      <c r="G18" s="71">
        <f t="shared" si="16"/>
        <v>50020</v>
      </c>
      <c r="H18" s="71">
        <f t="shared" si="16"/>
        <v>52176.298231982553</v>
      </c>
      <c r="I18" s="71">
        <f t="shared" si="16"/>
        <v>55820.344108221339</v>
      </c>
      <c r="J18" s="71">
        <f t="shared" si="16"/>
        <v>60272.907011879026</v>
      </c>
      <c r="K18" s="71">
        <f t="shared" si="16"/>
        <v>65081.021716579373</v>
      </c>
    </row>
    <row r="19" spans="2:11" x14ac:dyDescent="0.3">
      <c r="B19" s="16"/>
      <c r="C19" s="23"/>
      <c r="D19" s="23"/>
      <c r="E19" s="23"/>
      <c r="F19" s="23"/>
      <c r="G19" s="23"/>
      <c r="H19" s="23"/>
      <c r="I19" s="23"/>
      <c r="J19" s="23"/>
      <c r="K19" s="23"/>
    </row>
    <row r="20" spans="2:11" x14ac:dyDescent="0.3">
      <c r="B20" s="16" t="s">
        <v>14</v>
      </c>
      <c r="C20" s="67">
        <v>10845</v>
      </c>
      <c r="D20" s="67">
        <v>11918</v>
      </c>
      <c r="E20" s="67">
        <v>13409</v>
      </c>
      <c r="F20" s="67">
        <v>13920</v>
      </c>
      <c r="G20" s="67">
        <v>14110</v>
      </c>
      <c r="H20" s="71">
        <f>H8-H18</f>
        <v>15881.171768017448</v>
      </c>
      <c r="I20" s="71">
        <f t="shared" ref="I20:K20" si="17">I8-I18</f>
        <v>17070.101391778662</v>
      </c>
      <c r="J20" s="71">
        <f t="shared" si="17"/>
        <v>18513.704493120968</v>
      </c>
      <c r="K20" s="71">
        <f t="shared" si="17"/>
        <v>20081.890021270621</v>
      </c>
    </row>
    <row r="21" spans="2:11" x14ac:dyDescent="0.3">
      <c r="B21" s="16" t="s">
        <v>15</v>
      </c>
      <c r="C21" s="67">
        <v>-239</v>
      </c>
      <c r="D21" s="67">
        <v>-44</v>
      </c>
      <c r="E21" s="67">
        <v>-64</v>
      </c>
      <c r="F21" s="67">
        <v>6</v>
      </c>
      <c r="G21" s="67">
        <v>305</v>
      </c>
      <c r="H21" s="67">
        <v>0</v>
      </c>
      <c r="I21" s="67">
        <v>0</v>
      </c>
      <c r="J21" s="67">
        <v>0</v>
      </c>
      <c r="K21" s="67">
        <v>0</v>
      </c>
    </row>
    <row r="22" spans="2:11" x14ac:dyDescent="0.3">
      <c r="B22" s="16" t="s">
        <v>16</v>
      </c>
      <c r="C22" s="71">
        <f t="shared" ref="C22:K22" si="18">SUM(C20:C21)</f>
        <v>10606</v>
      </c>
      <c r="D22" s="71">
        <f t="shared" si="18"/>
        <v>11874</v>
      </c>
      <c r="E22" s="71">
        <f t="shared" si="18"/>
        <v>13345</v>
      </c>
      <c r="F22" s="71">
        <f t="shared" si="18"/>
        <v>13926</v>
      </c>
      <c r="G22" s="71">
        <f t="shared" si="18"/>
        <v>14415</v>
      </c>
      <c r="H22" s="71">
        <f t="shared" si="18"/>
        <v>15881.171768017448</v>
      </c>
      <c r="I22" s="71">
        <f t="shared" si="18"/>
        <v>17070.101391778662</v>
      </c>
      <c r="J22" s="71">
        <f t="shared" si="18"/>
        <v>18513.704493120968</v>
      </c>
      <c r="K22" s="71">
        <f t="shared" si="18"/>
        <v>20081.890021270621</v>
      </c>
    </row>
    <row r="23" spans="2:11" x14ac:dyDescent="0.3">
      <c r="B23" s="16"/>
      <c r="C23" s="23"/>
      <c r="D23" s="23"/>
      <c r="E23" s="23"/>
      <c r="F23" s="23"/>
      <c r="G23" s="23"/>
      <c r="H23" s="23"/>
      <c r="I23" s="23"/>
      <c r="J23" s="23"/>
      <c r="K23" s="23"/>
    </row>
    <row r="24" spans="2:11" x14ac:dyDescent="0.3">
      <c r="B24" s="16" t="s">
        <v>171</v>
      </c>
      <c r="C24" s="71">
        <f>C25+C26</f>
        <v>-2606</v>
      </c>
      <c r="D24" s="71">
        <f t="shared" ref="D24:K24" si="19">D25+D26</f>
        <v>-2987</v>
      </c>
      <c r="E24" s="71">
        <f t="shared" si="19"/>
        <v>-3201</v>
      </c>
      <c r="F24" s="71">
        <f t="shared" si="19"/>
        <v>-3644</v>
      </c>
      <c r="G24" s="71">
        <f t="shared" si="19"/>
        <v>-3744</v>
      </c>
      <c r="H24" s="71">
        <f t="shared" si="19"/>
        <v>-4140.2077379575749</v>
      </c>
      <c r="I24" s="71">
        <f t="shared" si="19"/>
        <v>-4450.1606620923194</v>
      </c>
      <c r="J24" s="71">
        <f t="shared" si="19"/>
        <v>-4826.5067414637097</v>
      </c>
      <c r="K24" s="71">
        <f t="shared" si="19"/>
        <v>-5235.3313517027054</v>
      </c>
    </row>
    <row r="25" spans="2:11" x14ac:dyDescent="0.3">
      <c r="B25" s="16" t="s">
        <v>17</v>
      </c>
      <c r="C25" s="67">
        <v>-2520</v>
      </c>
      <c r="D25" s="67">
        <v>-2840</v>
      </c>
      <c r="E25" s="67">
        <v>-3001</v>
      </c>
      <c r="F25" s="67">
        <v>-3521</v>
      </c>
      <c r="G25" s="67">
        <v>-3620</v>
      </c>
      <c r="H25" s="70">
        <f>-(H22*Assumptions!H15)</f>
        <v>-4140.2077379575749</v>
      </c>
      <c r="I25" s="70">
        <f>-(I22*Assumptions!I15)</f>
        <v>-4450.1606620923194</v>
      </c>
      <c r="J25" s="70">
        <f>-(J22*Assumptions!J15)</f>
        <v>-4826.5067414637097</v>
      </c>
      <c r="K25" s="70">
        <f>-(K22*Assumptions!K15)</f>
        <v>-5235.3313517027054</v>
      </c>
    </row>
    <row r="26" spans="2:11" x14ac:dyDescent="0.3">
      <c r="B26" s="16" t="s">
        <v>18</v>
      </c>
      <c r="C26" s="67">
        <v>-86</v>
      </c>
      <c r="D26" s="67">
        <v>-147</v>
      </c>
      <c r="E26" s="67">
        <v>-200</v>
      </c>
      <c r="F26" s="67">
        <v>-123</v>
      </c>
      <c r="G26" s="67">
        <v>-124</v>
      </c>
      <c r="H26" s="67">
        <v>0</v>
      </c>
      <c r="I26" s="67">
        <v>0</v>
      </c>
      <c r="J26" s="67">
        <v>0</v>
      </c>
      <c r="K26" s="67">
        <v>0</v>
      </c>
    </row>
    <row r="27" spans="2:11" x14ac:dyDescent="0.3">
      <c r="B27" s="16" t="s">
        <v>19</v>
      </c>
      <c r="C27" s="71">
        <f>C22+C24</f>
        <v>8000</v>
      </c>
      <c r="D27" s="71">
        <f t="shared" ref="D27:K27" si="20">D22+D24</f>
        <v>8887</v>
      </c>
      <c r="E27" s="71">
        <f t="shared" si="20"/>
        <v>10144</v>
      </c>
      <c r="F27" s="71">
        <f t="shared" si="20"/>
        <v>10282</v>
      </c>
      <c r="G27" s="71">
        <f t="shared" si="20"/>
        <v>10671</v>
      </c>
      <c r="H27" s="71">
        <f t="shared" si="20"/>
        <v>11740.964030059873</v>
      </c>
      <c r="I27" s="71">
        <f t="shared" si="20"/>
        <v>12619.940729686343</v>
      </c>
      <c r="J27" s="71">
        <f t="shared" si="20"/>
        <v>13687.197751657259</v>
      </c>
      <c r="K27" s="71">
        <f t="shared" si="20"/>
        <v>14846.558669567916</v>
      </c>
    </row>
  </sheetData>
  <mergeCells count="7">
    <mergeCell ref="C3:G3"/>
    <mergeCell ref="H3:K3"/>
    <mergeCell ref="B1:K1"/>
    <mergeCell ref="H11:H13"/>
    <mergeCell ref="I11:I13"/>
    <mergeCell ref="J11:J13"/>
    <mergeCell ref="K11:K1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K66"/>
  <sheetViews>
    <sheetView workbookViewId="0"/>
  </sheetViews>
  <sheetFormatPr defaultRowHeight="14" x14ac:dyDescent="0.3"/>
  <cols>
    <col min="1" max="1" width="2.6328125" style="1" customWidth="1"/>
    <col min="2" max="2" width="45.6328125" style="1" customWidth="1"/>
    <col min="3" max="11" width="8.7265625" style="7"/>
    <col min="12" max="16384" width="8.7265625" style="1"/>
  </cols>
  <sheetData>
    <row r="1" spans="2:11" ht="20" customHeight="1" x14ac:dyDescent="0.4">
      <c r="B1" s="76" t="s">
        <v>91</v>
      </c>
      <c r="C1" s="42"/>
      <c r="D1" s="42"/>
      <c r="E1" s="42"/>
      <c r="F1" s="42"/>
      <c r="G1" s="42"/>
      <c r="H1" s="42"/>
      <c r="I1" s="42"/>
      <c r="J1" s="42"/>
      <c r="K1" s="42"/>
    </row>
    <row r="2" spans="2:11" x14ac:dyDescent="0.3"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C3" s="38" t="s">
        <v>20</v>
      </c>
      <c r="D3" s="38"/>
      <c r="E3" s="38"/>
      <c r="F3" s="38"/>
      <c r="G3" s="38"/>
      <c r="H3" s="38" t="s">
        <v>21</v>
      </c>
      <c r="I3" s="38"/>
      <c r="J3" s="38"/>
      <c r="K3" s="38"/>
    </row>
    <row r="4" spans="2:11" x14ac:dyDescent="0.3">
      <c r="B4" s="16"/>
      <c r="C4" s="66">
        <v>2021</v>
      </c>
      <c r="D4" s="69">
        <f>C4+1</f>
        <v>2022</v>
      </c>
      <c r="E4" s="69">
        <f t="shared" ref="E4:K4" si="0">D4+1</f>
        <v>2023</v>
      </c>
      <c r="F4" s="69">
        <f t="shared" si="0"/>
        <v>2024</v>
      </c>
      <c r="G4" s="69">
        <f t="shared" si="0"/>
        <v>2025</v>
      </c>
      <c r="H4" s="69">
        <f t="shared" si="0"/>
        <v>2026</v>
      </c>
      <c r="I4" s="69">
        <f t="shared" si="0"/>
        <v>2027</v>
      </c>
      <c r="J4" s="69">
        <f t="shared" si="0"/>
        <v>2028</v>
      </c>
      <c r="K4" s="69">
        <f t="shared" si="0"/>
        <v>2029</v>
      </c>
    </row>
    <row r="5" spans="2:11" x14ac:dyDescent="0.3">
      <c r="B5" s="25" t="s">
        <v>92</v>
      </c>
      <c r="C5" s="23"/>
      <c r="D5" s="23"/>
      <c r="E5" s="23"/>
      <c r="F5" s="23"/>
      <c r="G5" s="23"/>
      <c r="H5" s="23"/>
      <c r="I5" s="23"/>
      <c r="J5" s="23"/>
      <c r="K5" s="23"/>
    </row>
    <row r="6" spans="2:11" x14ac:dyDescent="0.3">
      <c r="B6" s="25" t="s">
        <v>93</v>
      </c>
      <c r="C6" s="23"/>
      <c r="D6" s="23"/>
      <c r="E6" s="23"/>
      <c r="F6" s="23"/>
      <c r="G6" s="23"/>
      <c r="H6" s="23"/>
      <c r="I6" s="23"/>
      <c r="J6" s="23"/>
      <c r="K6" s="23"/>
    </row>
    <row r="7" spans="2:11" x14ac:dyDescent="0.3">
      <c r="B7" s="26" t="s">
        <v>94</v>
      </c>
      <c r="C7" s="67">
        <v>6116</v>
      </c>
      <c r="D7" s="67">
        <v>6169</v>
      </c>
      <c r="E7" s="67">
        <v>6949</v>
      </c>
      <c r="F7" s="67">
        <v>8031</v>
      </c>
      <c r="G7" s="67">
        <v>8625</v>
      </c>
      <c r="H7" s="70">
        <f>G7+(Assumptions!H24*'Income Statement'!H6)-'Income Statement'!H16</f>
        <v>8577.883973124046</v>
      </c>
      <c r="I7" s="70">
        <f>H7+(Assumptions!I24*'Income Statement'!I6)-'Income Statement'!I16</f>
        <v>8527.4698243667754</v>
      </c>
      <c r="J7" s="70">
        <f>I7+(Assumptions!J24*'Income Statement'!J6)-'Income Statement'!J16</f>
        <v>8473.0225437089248</v>
      </c>
      <c r="K7" s="70">
        <f>J7+(Assumptions!K24*'Income Statement'!K6)-'Income Statement'!K16</f>
        <v>8414.2194805984473</v>
      </c>
    </row>
    <row r="8" spans="2:11" x14ac:dyDescent="0.3">
      <c r="B8" s="26" t="s">
        <v>95</v>
      </c>
      <c r="C8" s="67">
        <v>745</v>
      </c>
      <c r="D8" s="67">
        <v>1313</v>
      </c>
      <c r="E8" s="67">
        <v>1132</v>
      </c>
      <c r="F8" s="67">
        <v>1025</v>
      </c>
      <c r="G8" s="67">
        <v>1009</v>
      </c>
      <c r="H8" s="67">
        <v>1009</v>
      </c>
      <c r="I8" s="67">
        <v>1009</v>
      </c>
      <c r="J8" s="67">
        <v>1009</v>
      </c>
      <c r="K8" s="67">
        <v>1009</v>
      </c>
    </row>
    <row r="9" spans="2:11" x14ac:dyDescent="0.3">
      <c r="B9" s="26" t="s">
        <v>96</v>
      </c>
      <c r="C9" s="67">
        <v>17316</v>
      </c>
      <c r="D9" s="67">
        <v>17316</v>
      </c>
      <c r="E9" s="67">
        <v>17316</v>
      </c>
      <c r="F9" s="67">
        <v>17466</v>
      </c>
      <c r="G9" s="67">
        <v>17466</v>
      </c>
      <c r="H9" s="67">
        <v>17466</v>
      </c>
      <c r="I9" s="67">
        <v>17466</v>
      </c>
      <c r="J9" s="67">
        <v>17466</v>
      </c>
      <c r="K9" s="67">
        <v>17466</v>
      </c>
    </row>
    <row r="10" spans="2:11" x14ac:dyDescent="0.3">
      <c r="B10" s="26" t="s">
        <v>97</v>
      </c>
      <c r="C10" s="67">
        <v>27930</v>
      </c>
      <c r="D10" s="67">
        <v>27907</v>
      </c>
      <c r="E10" s="67">
        <v>28263</v>
      </c>
      <c r="F10" s="67">
        <v>28247</v>
      </c>
      <c r="G10" s="67">
        <v>28244</v>
      </c>
      <c r="H10" s="67">
        <v>28244</v>
      </c>
      <c r="I10" s="67">
        <v>28244</v>
      </c>
      <c r="J10" s="67">
        <v>28244</v>
      </c>
      <c r="K10" s="67">
        <v>28244</v>
      </c>
    </row>
    <row r="11" spans="2:11" x14ac:dyDescent="0.3">
      <c r="B11" s="26" t="s">
        <v>98</v>
      </c>
      <c r="C11" s="67">
        <v>81</v>
      </c>
      <c r="D11" s="67">
        <v>81</v>
      </c>
      <c r="E11" s="67">
        <v>150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</row>
    <row r="12" spans="2:11" ht="28" x14ac:dyDescent="0.3">
      <c r="B12" s="26" t="s">
        <v>138</v>
      </c>
      <c r="C12" s="67">
        <v>0</v>
      </c>
      <c r="D12" s="67">
        <v>0</v>
      </c>
      <c r="E12" s="67">
        <v>69</v>
      </c>
      <c r="F12" s="67">
        <v>65</v>
      </c>
      <c r="G12" s="67">
        <v>57</v>
      </c>
      <c r="H12" s="67">
        <v>57</v>
      </c>
      <c r="I12" s="67">
        <v>57</v>
      </c>
      <c r="J12" s="67">
        <v>57</v>
      </c>
      <c r="K12" s="67">
        <v>57</v>
      </c>
    </row>
    <row r="13" spans="2:11" x14ac:dyDescent="0.3">
      <c r="B13" s="26" t="s">
        <v>100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2:11" x14ac:dyDescent="0.3">
      <c r="B14" s="26" t="s">
        <v>99</v>
      </c>
      <c r="C14" s="67">
        <v>2</v>
      </c>
      <c r="D14" s="67">
        <v>2</v>
      </c>
      <c r="E14" s="67">
        <v>2</v>
      </c>
      <c r="F14" s="67">
        <v>2</v>
      </c>
      <c r="G14" s="67">
        <v>2</v>
      </c>
      <c r="H14" s="67">
        <v>2</v>
      </c>
      <c r="I14" s="67">
        <v>2</v>
      </c>
      <c r="J14" s="67">
        <v>2</v>
      </c>
      <c r="K14" s="67">
        <v>2</v>
      </c>
    </row>
    <row r="15" spans="2:11" x14ac:dyDescent="0.3">
      <c r="B15" s="26" t="s">
        <v>101</v>
      </c>
      <c r="C15" s="67">
        <v>111</v>
      </c>
      <c r="D15" s="67">
        <v>115</v>
      </c>
      <c r="E15" s="67">
        <v>98</v>
      </c>
      <c r="F15" s="67">
        <v>102</v>
      </c>
      <c r="G15" s="67">
        <v>87</v>
      </c>
      <c r="H15" s="67">
        <v>87</v>
      </c>
      <c r="I15" s="67">
        <v>87</v>
      </c>
      <c r="J15" s="67">
        <v>87</v>
      </c>
      <c r="K15" s="67">
        <v>87</v>
      </c>
    </row>
    <row r="16" spans="2:11" x14ac:dyDescent="0.3">
      <c r="B16" s="26" t="s">
        <v>102</v>
      </c>
      <c r="C16" s="67">
        <v>757</v>
      </c>
      <c r="D16" s="67">
        <v>729</v>
      </c>
      <c r="E16" s="67">
        <v>725</v>
      </c>
      <c r="F16" s="67">
        <v>760</v>
      </c>
      <c r="G16" s="67">
        <v>763</v>
      </c>
      <c r="H16" s="67">
        <v>763</v>
      </c>
      <c r="I16" s="67">
        <v>763</v>
      </c>
      <c r="J16" s="67">
        <v>763</v>
      </c>
      <c r="K16" s="67">
        <v>763</v>
      </c>
    </row>
    <row r="17" spans="2:11" x14ac:dyDescent="0.3">
      <c r="B17" s="26" t="s">
        <v>105</v>
      </c>
      <c r="C17" s="67">
        <v>1246</v>
      </c>
      <c r="D17" s="67">
        <v>1158</v>
      </c>
      <c r="E17" s="67">
        <v>1164</v>
      </c>
      <c r="F17" s="67">
        <v>1175</v>
      </c>
      <c r="G17" s="67">
        <v>1199</v>
      </c>
      <c r="H17" s="67">
        <v>1199</v>
      </c>
      <c r="I17" s="67">
        <v>1199</v>
      </c>
      <c r="J17" s="67">
        <v>1199</v>
      </c>
      <c r="K17" s="67">
        <v>1199</v>
      </c>
    </row>
    <row r="18" spans="2:11" x14ac:dyDescent="0.3">
      <c r="B18" s="26" t="s">
        <v>103</v>
      </c>
      <c r="C18" s="67">
        <v>17</v>
      </c>
      <c r="D18" s="67">
        <v>11</v>
      </c>
      <c r="E18" s="67">
        <v>10</v>
      </c>
      <c r="F18" s="67">
        <v>10</v>
      </c>
      <c r="G18" s="67">
        <v>17</v>
      </c>
      <c r="H18" s="67">
        <v>17</v>
      </c>
      <c r="I18" s="67">
        <v>17</v>
      </c>
      <c r="J18" s="67">
        <v>17</v>
      </c>
      <c r="K18" s="67">
        <v>17</v>
      </c>
    </row>
    <row r="19" spans="2:11" x14ac:dyDescent="0.3">
      <c r="B19" s="26" t="s">
        <v>104</v>
      </c>
      <c r="C19" s="67">
        <v>219</v>
      </c>
      <c r="D19" s="67">
        <v>194</v>
      </c>
      <c r="E19" s="67">
        <v>211</v>
      </c>
      <c r="F19" s="67">
        <v>292</v>
      </c>
      <c r="G19" s="67">
        <v>360</v>
      </c>
      <c r="H19" s="67">
        <v>360</v>
      </c>
      <c r="I19" s="67">
        <v>360</v>
      </c>
      <c r="J19" s="67">
        <v>360</v>
      </c>
      <c r="K19" s="67">
        <v>360</v>
      </c>
    </row>
    <row r="20" spans="2:11" x14ac:dyDescent="0.3">
      <c r="B20" s="25" t="s">
        <v>130</v>
      </c>
      <c r="C20" s="71">
        <f>SUM(C7:C19)</f>
        <v>54540</v>
      </c>
      <c r="D20" s="71">
        <f t="shared" ref="D20:K20" si="1">SUM(D7:D19)</f>
        <v>54995</v>
      </c>
      <c r="E20" s="71">
        <f t="shared" si="1"/>
        <v>56089</v>
      </c>
      <c r="F20" s="71">
        <f t="shared" si="1"/>
        <v>57175</v>
      </c>
      <c r="G20" s="71">
        <f t="shared" si="1"/>
        <v>57829</v>
      </c>
      <c r="H20" s="71">
        <f t="shared" si="1"/>
        <v>57781.883973124044</v>
      </c>
      <c r="I20" s="71">
        <f t="shared" si="1"/>
        <v>57731.469824366774</v>
      </c>
      <c r="J20" s="71">
        <f t="shared" si="1"/>
        <v>57677.022543708925</v>
      </c>
      <c r="K20" s="71">
        <f t="shared" si="1"/>
        <v>57618.219480598447</v>
      </c>
    </row>
    <row r="21" spans="2:11" x14ac:dyDescent="0.3">
      <c r="B21" s="25" t="s">
        <v>106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2:11" x14ac:dyDescent="0.3">
      <c r="B22" s="26" t="s">
        <v>107</v>
      </c>
      <c r="C22" s="67">
        <v>3579</v>
      </c>
      <c r="D22" s="67">
        <v>4096</v>
      </c>
      <c r="E22" s="67">
        <v>4251</v>
      </c>
      <c r="F22" s="67">
        <v>4022</v>
      </c>
      <c r="G22" s="67">
        <v>4415</v>
      </c>
      <c r="H22" s="70">
        <f>(Assumptions!H19/365)*'Income Statement'!S11</f>
        <v>4423.4662505909164</v>
      </c>
      <c r="I22" s="70">
        <f>(Assumptions!I19/365)*'Income Statement'!T11</f>
        <v>4733.1088881322803</v>
      </c>
      <c r="J22" s="70">
        <f>(Assumptions!J19/365)*'Income Statement'!U11</f>
        <v>5111.7575991828626</v>
      </c>
      <c r="K22" s="70">
        <f>(Assumptions!K19/365)*'Income Statement'!V11</f>
        <v>5520.6982071174916</v>
      </c>
    </row>
    <row r="23" spans="2:11" x14ac:dyDescent="0.3">
      <c r="B23" s="26" t="s">
        <v>100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2:11" x14ac:dyDescent="0.3">
      <c r="B24" s="26" t="s">
        <v>99</v>
      </c>
      <c r="C24" s="67">
        <v>2707</v>
      </c>
      <c r="D24" s="67">
        <v>3519</v>
      </c>
      <c r="E24" s="67">
        <v>2811</v>
      </c>
      <c r="F24" s="67">
        <v>4558</v>
      </c>
      <c r="G24" s="67">
        <v>3751</v>
      </c>
      <c r="H24" s="67">
        <v>3751</v>
      </c>
      <c r="I24" s="67">
        <v>3751</v>
      </c>
      <c r="J24" s="67">
        <v>3751</v>
      </c>
      <c r="K24" s="67">
        <v>3751</v>
      </c>
    </row>
    <row r="25" spans="2:11" x14ac:dyDescent="0.3">
      <c r="B25" s="26" t="s">
        <v>101</v>
      </c>
      <c r="C25" s="67">
        <v>34</v>
      </c>
      <c r="D25" s="67">
        <v>35</v>
      </c>
      <c r="E25" s="67">
        <v>36</v>
      </c>
      <c r="F25" s="67">
        <v>38</v>
      </c>
      <c r="G25" s="67">
        <v>46</v>
      </c>
      <c r="H25" s="67">
        <v>46</v>
      </c>
      <c r="I25" s="67">
        <v>46</v>
      </c>
      <c r="J25" s="67">
        <v>46</v>
      </c>
      <c r="K25" s="67">
        <v>46</v>
      </c>
    </row>
    <row r="26" spans="2:11" x14ac:dyDescent="0.3">
      <c r="B26" s="26" t="s">
        <v>108</v>
      </c>
      <c r="C26" s="67">
        <v>1758</v>
      </c>
      <c r="D26" s="67">
        <v>2236</v>
      </c>
      <c r="E26" s="67">
        <v>3079</v>
      </c>
      <c r="F26" s="67">
        <v>2997</v>
      </c>
      <c r="G26" s="67">
        <v>3819</v>
      </c>
      <c r="H26" s="70">
        <f>(Assumptions!H18/365)*'Income Statement'!H6</f>
        <v>3666.2060273972597</v>
      </c>
      <c r="I26" s="70">
        <f>(Assumptions!I18/365)*'Income Statement'!I6</f>
        <v>3922.8404493150683</v>
      </c>
      <c r="J26" s="70">
        <f>(Assumptions!J18/365)*'Income Statement'!J6</f>
        <v>4236.6676852602732</v>
      </c>
      <c r="K26" s="70">
        <f>(Assumptions!K18/365)*'Income Statement'!K6</f>
        <v>4575.601100081095</v>
      </c>
    </row>
    <row r="27" spans="2:11" x14ac:dyDescent="0.3">
      <c r="B27" s="26" t="s">
        <v>109</v>
      </c>
      <c r="C27" s="67">
        <v>1842</v>
      </c>
      <c r="D27" s="67">
        <v>1147</v>
      </c>
      <c r="E27" s="67">
        <v>714</v>
      </c>
      <c r="F27" s="67">
        <v>825</v>
      </c>
      <c r="G27" s="67">
        <v>6071</v>
      </c>
      <c r="H27" s="70">
        <f>'Cashflow Statement'!H77</f>
        <v>8788.4200304840342</v>
      </c>
      <c r="I27" s="70">
        <f>'Cashflow Statement'!I77</f>
        <v>12296.568707076018</v>
      </c>
      <c r="J27" s="70">
        <f>'Cashflow Statement'!J77</f>
        <v>16929.224441126855</v>
      </c>
      <c r="K27" s="70">
        <f>'Cashflow Statement'!K77</f>
        <v>22748.957731679831</v>
      </c>
    </row>
    <row r="28" spans="2:11" ht="28" x14ac:dyDescent="0.3">
      <c r="B28" s="26" t="s">
        <v>110</v>
      </c>
      <c r="C28" s="67">
        <v>2629</v>
      </c>
      <c r="D28" s="67">
        <v>2699</v>
      </c>
      <c r="E28" s="67">
        <v>3964</v>
      </c>
      <c r="F28" s="67">
        <v>6734</v>
      </c>
      <c r="G28" s="67">
        <v>1483</v>
      </c>
      <c r="H28" s="67">
        <v>1483</v>
      </c>
      <c r="I28" s="67">
        <v>1483</v>
      </c>
      <c r="J28" s="67">
        <v>1483</v>
      </c>
      <c r="K28" s="67">
        <v>1483</v>
      </c>
    </row>
    <row r="29" spans="2:11" x14ac:dyDescent="0.3">
      <c r="B29" s="26" t="s">
        <v>102</v>
      </c>
      <c r="C29" s="67">
        <v>1154</v>
      </c>
      <c r="D29" s="67">
        <v>1089</v>
      </c>
      <c r="E29" s="67">
        <v>1386</v>
      </c>
      <c r="F29" s="67">
        <v>1425</v>
      </c>
      <c r="G29" s="67">
        <v>1488</v>
      </c>
      <c r="H29" s="67">
        <v>1488</v>
      </c>
      <c r="I29" s="67">
        <v>1488</v>
      </c>
      <c r="J29" s="67">
        <v>1488</v>
      </c>
      <c r="K29" s="67">
        <v>1488</v>
      </c>
    </row>
    <row r="30" spans="2:11" x14ac:dyDescent="0.3">
      <c r="B30" s="26" t="s">
        <v>111</v>
      </c>
      <c r="C30" s="67">
        <v>497</v>
      </c>
      <c r="D30" s="67">
        <v>688</v>
      </c>
      <c r="E30" s="67">
        <v>745</v>
      </c>
      <c r="F30" s="67">
        <v>713</v>
      </c>
      <c r="G30" s="67">
        <v>955</v>
      </c>
      <c r="H30" s="67">
        <v>955</v>
      </c>
      <c r="I30" s="67">
        <v>955</v>
      </c>
      <c r="J30" s="67">
        <v>955</v>
      </c>
      <c r="K30" s="67">
        <v>955</v>
      </c>
    </row>
    <row r="31" spans="2:11" x14ac:dyDescent="0.3">
      <c r="B31" s="26" t="s">
        <v>112</v>
      </c>
      <c r="C31" s="67">
        <v>17</v>
      </c>
      <c r="D31" s="67">
        <v>13</v>
      </c>
      <c r="E31" s="67">
        <v>12</v>
      </c>
      <c r="F31" s="67">
        <v>12</v>
      </c>
      <c r="G31" s="67">
        <v>23</v>
      </c>
      <c r="H31" s="67">
        <v>23</v>
      </c>
      <c r="I31" s="67">
        <v>23</v>
      </c>
      <c r="J31" s="67">
        <v>23</v>
      </c>
      <c r="K31" s="67">
        <v>23</v>
      </c>
    </row>
    <row r="32" spans="2:11" x14ac:dyDescent="0.3">
      <c r="B32" s="25" t="s">
        <v>131</v>
      </c>
      <c r="C32" s="71">
        <f>SUM(C22:C31)</f>
        <v>14217</v>
      </c>
      <c r="D32" s="71">
        <f t="shared" ref="D32:K32" si="2">SUM(D22:D31)</f>
        <v>15522</v>
      </c>
      <c r="E32" s="71">
        <f t="shared" si="2"/>
        <v>16998</v>
      </c>
      <c r="F32" s="71">
        <f t="shared" si="2"/>
        <v>21324</v>
      </c>
      <c r="G32" s="71">
        <f t="shared" si="2"/>
        <v>22051</v>
      </c>
      <c r="H32" s="71">
        <f t="shared" si="2"/>
        <v>24624.092308472209</v>
      </c>
      <c r="I32" s="71">
        <f t="shared" si="2"/>
        <v>28698.518044523364</v>
      </c>
      <c r="J32" s="71">
        <f t="shared" si="2"/>
        <v>34023.649725569994</v>
      </c>
      <c r="K32" s="71">
        <f t="shared" si="2"/>
        <v>40591.257038878422</v>
      </c>
    </row>
    <row r="33" spans="2:11" x14ac:dyDescent="0.3">
      <c r="B33" s="25" t="s">
        <v>132</v>
      </c>
      <c r="C33" s="71">
        <f>C32+C20</f>
        <v>68757</v>
      </c>
      <c r="D33" s="71">
        <f t="shared" ref="D33:K33" si="3">D32+D20</f>
        <v>70517</v>
      </c>
      <c r="E33" s="71">
        <f t="shared" si="3"/>
        <v>73087</v>
      </c>
      <c r="F33" s="71">
        <f t="shared" si="3"/>
        <v>78499</v>
      </c>
      <c r="G33" s="71">
        <f t="shared" si="3"/>
        <v>79880</v>
      </c>
      <c r="H33" s="71">
        <f t="shared" si="3"/>
        <v>82405.97628159626</v>
      </c>
      <c r="I33" s="71">
        <f t="shared" si="3"/>
        <v>86429.987868890137</v>
      </c>
      <c r="J33" s="71">
        <f t="shared" si="3"/>
        <v>91700.672269278919</v>
      </c>
      <c r="K33" s="71">
        <f t="shared" si="3"/>
        <v>98209.47651947687</v>
      </c>
    </row>
    <row r="34" spans="2:11" x14ac:dyDescent="0.3">
      <c r="B34" s="26"/>
      <c r="C34" s="23"/>
      <c r="D34" s="23"/>
      <c r="E34" s="23"/>
      <c r="F34" s="23"/>
      <c r="G34" s="23"/>
      <c r="H34" s="23"/>
      <c r="I34" s="23"/>
      <c r="J34" s="23"/>
      <c r="K34" s="23"/>
    </row>
    <row r="35" spans="2:11" x14ac:dyDescent="0.3">
      <c r="B35" s="25" t="s">
        <v>113</v>
      </c>
      <c r="C35" s="23"/>
      <c r="D35" s="23"/>
      <c r="E35" s="23"/>
      <c r="F35" s="23"/>
      <c r="G35" s="23"/>
      <c r="H35" s="23"/>
      <c r="I35" s="23"/>
      <c r="J35" s="23"/>
      <c r="K35" s="23"/>
    </row>
    <row r="36" spans="2:11" x14ac:dyDescent="0.3">
      <c r="B36" s="25" t="s">
        <v>114</v>
      </c>
      <c r="C36" s="23"/>
      <c r="D36" s="23"/>
      <c r="E36" s="23"/>
      <c r="F36" s="23"/>
      <c r="G36" s="23"/>
      <c r="H36" s="23"/>
      <c r="I36" s="23"/>
      <c r="J36" s="23"/>
      <c r="K36" s="23"/>
    </row>
    <row r="37" spans="2:11" x14ac:dyDescent="0.3">
      <c r="B37" s="26" t="s">
        <v>115</v>
      </c>
      <c r="C37" s="67">
        <v>235</v>
      </c>
      <c r="D37" s="67">
        <v>235</v>
      </c>
      <c r="E37" s="67">
        <v>235</v>
      </c>
      <c r="F37" s="67">
        <v>235</v>
      </c>
      <c r="G37" s="67">
        <v>235</v>
      </c>
      <c r="H37" s="67">
        <v>235</v>
      </c>
      <c r="I37" s="67">
        <v>235</v>
      </c>
      <c r="J37" s="67">
        <v>235</v>
      </c>
      <c r="K37" s="67">
        <v>235</v>
      </c>
    </row>
    <row r="38" spans="2:11" x14ac:dyDescent="0.3">
      <c r="B38" s="26" t="s">
        <v>116</v>
      </c>
      <c r="C38" s="67">
        <v>47439</v>
      </c>
      <c r="D38" s="67">
        <v>48826</v>
      </c>
      <c r="E38" s="67">
        <v>50069</v>
      </c>
      <c r="F38" s="67">
        <v>50983</v>
      </c>
      <c r="G38" s="67">
        <v>49167</v>
      </c>
      <c r="H38" s="70">
        <f>G38+'Income Statement'!H27-Assumptions!H30*235</f>
        <v>51507.964030059869</v>
      </c>
      <c r="I38" s="70">
        <f>H38+'Income Statement'!I27-Assumptions!I30*235</f>
        <v>54727.904759746212</v>
      </c>
      <c r="J38" s="70">
        <f>I38+'Income Statement'!J27-Assumptions!J30*235</f>
        <v>59015.102511403471</v>
      </c>
      <c r="K38" s="70">
        <f>J38+'Income Statement'!K27-Assumptions!K30*235</f>
        <v>64461.661180971394</v>
      </c>
    </row>
    <row r="39" spans="2:11" x14ac:dyDescent="0.3">
      <c r="B39" s="26" t="s">
        <v>117</v>
      </c>
      <c r="C39" s="67">
        <v>20</v>
      </c>
      <c r="D39" s="67">
        <v>26</v>
      </c>
      <c r="E39" s="67">
        <v>218</v>
      </c>
      <c r="F39" s="67">
        <v>205</v>
      </c>
      <c r="G39" s="67">
        <v>207</v>
      </c>
      <c r="H39" s="67">
        <v>207</v>
      </c>
      <c r="I39" s="67">
        <v>207</v>
      </c>
      <c r="J39" s="67">
        <v>207</v>
      </c>
      <c r="K39" s="67">
        <v>207</v>
      </c>
    </row>
    <row r="40" spans="2:11" x14ac:dyDescent="0.3">
      <c r="B40" s="25" t="s">
        <v>133</v>
      </c>
      <c r="C40" s="71">
        <f>SUM(C37:C39)</f>
        <v>47694</v>
      </c>
      <c r="D40" s="71">
        <f t="shared" ref="D40:K40" si="4">SUM(D37:D39)</f>
        <v>49087</v>
      </c>
      <c r="E40" s="71">
        <f t="shared" si="4"/>
        <v>50522</v>
      </c>
      <c r="F40" s="71">
        <f t="shared" si="4"/>
        <v>51423</v>
      </c>
      <c r="G40" s="71">
        <f t="shared" si="4"/>
        <v>49609</v>
      </c>
      <c r="H40" s="71">
        <f t="shared" si="4"/>
        <v>51949.964030059869</v>
      </c>
      <c r="I40" s="71">
        <f t="shared" si="4"/>
        <v>55169.904759746212</v>
      </c>
      <c r="J40" s="71">
        <f t="shared" si="4"/>
        <v>59457.102511403471</v>
      </c>
      <c r="K40" s="71">
        <f t="shared" si="4"/>
        <v>64903.661180971394</v>
      </c>
    </row>
    <row r="41" spans="2:11" x14ac:dyDescent="0.3">
      <c r="B41" s="25" t="s">
        <v>118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2:11" x14ac:dyDescent="0.3">
      <c r="B42" s="25" t="s">
        <v>119</v>
      </c>
      <c r="C42" s="23"/>
      <c r="D42" s="23"/>
      <c r="E42" s="23"/>
      <c r="F42" s="23"/>
      <c r="G42" s="23"/>
      <c r="H42" s="23"/>
      <c r="I42" s="23"/>
      <c r="J42" s="23"/>
      <c r="K42" s="23"/>
    </row>
    <row r="43" spans="2:11" x14ac:dyDescent="0.3">
      <c r="B43" s="26" t="s">
        <v>125</v>
      </c>
      <c r="C43" s="23"/>
      <c r="D43" s="23"/>
      <c r="E43" s="23"/>
      <c r="F43" s="23"/>
      <c r="G43" s="23"/>
      <c r="H43" s="23"/>
      <c r="I43" s="23"/>
      <c r="J43" s="23"/>
      <c r="K43" s="23"/>
    </row>
    <row r="44" spans="2:11" x14ac:dyDescent="0.3">
      <c r="B44" s="26" t="s">
        <v>137</v>
      </c>
      <c r="C44" s="67">
        <v>731</v>
      </c>
      <c r="D44" s="67">
        <v>741</v>
      </c>
      <c r="E44" s="67">
        <v>807</v>
      </c>
      <c r="F44" s="67">
        <v>1106</v>
      </c>
      <c r="G44" s="67">
        <v>1243</v>
      </c>
      <c r="H44" s="67">
        <v>1243</v>
      </c>
      <c r="I44" s="67">
        <v>1243</v>
      </c>
      <c r="J44" s="67">
        <v>1243</v>
      </c>
      <c r="K44" s="67">
        <v>1243</v>
      </c>
    </row>
    <row r="45" spans="2:11" x14ac:dyDescent="0.3">
      <c r="B45" s="26" t="s">
        <v>120</v>
      </c>
      <c r="C45" s="67">
        <v>296</v>
      </c>
      <c r="D45" s="67">
        <v>357</v>
      </c>
      <c r="E45" s="67">
        <v>860</v>
      </c>
      <c r="F45" s="67">
        <v>715</v>
      </c>
      <c r="G45" s="67">
        <v>680</v>
      </c>
      <c r="H45" s="67">
        <v>680</v>
      </c>
      <c r="I45" s="67">
        <v>680</v>
      </c>
      <c r="J45" s="67">
        <v>680</v>
      </c>
      <c r="K45" s="67">
        <v>680</v>
      </c>
    </row>
    <row r="46" spans="2:11" x14ac:dyDescent="0.3">
      <c r="B46" s="26" t="s">
        <v>121</v>
      </c>
      <c r="C46" s="67">
        <v>1578</v>
      </c>
      <c r="D46" s="67">
        <v>1580</v>
      </c>
      <c r="E46" s="67">
        <v>1363</v>
      </c>
      <c r="F46" s="67">
        <v>1576</v>
      </c>
      <c r="G46" s="67">
        <v>1528</v>
      </c>
      <c r="H46" s="67">
        <v>1528</v>
      </c>
      <c r="I46" s="67">
        <v>1528</v>
      </c>
      <c r="J46" s="67">
        <v>1528</v>
      </c>
      <c r="K46" s="67">
        <v>1528</v>
      </c>
    </row>
    <row r="47" spans="2:11" x14ac:dyDescent="0.3">
      <c r="B47" s="26" t="s">
        <v>122</v>
      </c>
      <c r="C47" s="67">
        <v>1367</v>
      </c>
      <c r="D47" s="67">
        <v>1331</v>
      </c>
      <c r="E47" s="67">
        <v>1086</v>
      </c>
      <c r="F47" s="67">
        <v>4243</v>
      </c>
      <c r="G47" s="67">
        <v>3598</v>
      </c>
      <c r="H47" s="67">
        <v>3598</v>
      </c>
      <c r="I47" s="67">
        <v>3598</v>
      </c>
      <c r="J47" s="67">
        <v>3598</v>
      </c>
      <c r="K47" s="67">
        <v>3598</v>
      </c>
    </row>
    <row r="48" spans="2:11" x14ac:dyDescent="0.3">
      <c r="B48" s="26" t="s">
        <v>123</v>
      </c>
      <c r="C48" s="67">
        <v>5988</v>
      </c>
      <c r="D48" s="67">
        <v>6141</v>
      </c>
      <c r="E48" s="67">
        <v>6421</v>
      </c>
      <c r="F48" s="67">
        <v>6557</v>
      </c>
      <c r="G48" s="67">
        <v>6685</v>
      </c>
      <c r="H48" s="67">
        <v>6685</v>
      </c>
      <c r="I48" s="67">
        <v>6685</v>
      </c>
      <c r="J48" s="67">
        <v>6685</v>
      </c>
      <c r="K48" s="67">
        <v>6685</v>
      </c>
    </row>
    <row r="49" spans="2:11" x14ac:dyDescent="0.3">
      <c r="B49" s="25" t="s">
        <v>134</v>
      </c>
      <c r="C49" s="71">
        <f>SUM(C43:C48)</f>
        <v>9960</v>
      </c>
      <c r="D49" s="71">
        <f t="shared" ref="D49:K49" si="5">SUM(D43:D48)</f>
        <v>10150</v>
      </c>
      <c r="E49" s="71">
        <f t="shared" si="5"/>
        <v>10537</v>
      </c>
      <c r="F49" s="71">
        <f t="shared" si="5"/>
        <v>14197</v>
      </c>
      <c r="G49" s="71">
        <f t="shared" si="5"/>
        <v>13734</v>
      </c>
      <c r="H49" s="71">
        <f t="shared" si="5"/>
        <v>13734</v>
      </c>
      <c r="I49" s="71">
        <f t="shared" si="5"/>
        <v>13734</v>
      </c>
      <c r="J49" s="71">
        <f t="shared" si="5"/>
        <v>13734</v>
      </c>
      <c r="K49" s="71">
        <f t="shared" si="5"/>
        <v>13734</v>
      </c>
    </row>
    <row r="50" spans="2:11" x14ac:dyDescent="0.3">
      <c r="B50" s="25" t="s">
        <v>124</v>
      </c>
      <c r="C50" s="23"/>
      <c r="D50" s="23"/>
      <c r="E50" s="23"/>
      <c r="F50" s="23"/>
      <c r="G50" s="23"/>
      <c r="H50" s="23"/>
      <c r="I50" s="23"/>
      <c r="J50" s="23"/>
      <c r="K50" s="23"/>
    </row>
    <row r="51" spans="2:11" x14ac:dyDescent="0.3">
      <c r="B51" s="26" t="s">
        <v>125</v>
      </c>
      <c r="C51" s="23"/>
      <c r="D51" s="23"/>
      <c r="E51" s="23"/>
      <c r="F51" s="23"/>
      <c r="G51" s="23"/>
      <c r="H51" s="23"/>
      <c r="I51" s="23"/>
      <c r="J51" s="23"/>
      <c r="K51" s="23"/>
    </row>
    <row r="52" spans="2:11" x14ac:dyDescent="0.3">
      <c r="B52" s="26" t="s">
        <v>137</v>
      </c>
      <c r="C52" s="67">
        <v>278</v>
      </c>
      <c r="D52" s="67">
        <v>302</v>
      </c>
      <c r="E52" s="67">
        <v>314</v>
      </c>
      <c r="F52" s="67">
        <v>365</v>
      </c>
      <c r="G52" s="67">
        <v>404</v>
      </c>
      <c r="H52" s="67">
        <v>404</v>
      </c>
      <c r="I52" s="67">
        <v>404</v>
      </c>
      <c r="J52" s="67">
        <v>404</v>
      </c>
      <c r="K52" s="67">
        <v>404</v>
      </c>
    </row>
    <row r="53" spans="2:11" x14ac:dyDescent="0.3">
      <c r="B53" s="26" t="s">
        <v>139</v>
      </c>
      <c r="C53" s="67">
        <v>0</v>
      </c>
      <c r="D53" s="67">
        <v>0</v>
      </c>
      <c r="E53" s="67">
        <v>98</v>
      </c>
      <c r="F53" s="67">
        <v>13</v>
      </c>
      <c r="G53" s="67">
        <v>1</v>
      </c>
      <c r="H53" s="67">
        <v>1</v>
      </c>
      <c r="I53" s="67">
        <v>1</v>
      </c>
      <c r="J53" s="67">
        <v>1</v>
      </c>
      <c r="K53" s="67">
        <v>1</v>
      </c>
    </row>
    <row r="54" spans="2:11" x14ac:dyDescent="0.3">
      <c r="B54" s="26" t="s">
        <v>174</v>
      </c>
      <c r="C54" s="23"/>
      <c r="D54" s="23"/>
      <c r="E54" s="23"/>
      <c r="F54" s="23"/>
      <c r="G54" s="23"/>
      <c r="H54" s="23"/>
      <c r="I54" s="23"/>
      <c r="J54" s="23"/>
      <c r="K54" s="23"/>
    </row>
    <row r="55" spans="2:11" ht="28" x14ac:dyDescent="0.3">
      <c r="B55" s="26" t="s">
        <v>126</v>
      </c>
      <c r="C55" s="67">
        <v>67</v>
      </c>
      <c r="D55" s="67">
        <v>60</v>
      </c>
      <c r="E55" s="67">
        <v>100</v>
      </c>
      <c r="F55" s="67">
        <v>250</v>
      </c>
      <c r="G55" s="67">
        <v>263</v>
      </c>
      <c r="H55" s="71">
        <f>G55</f>
        <v>263</v>
      </c>
      <c r="I55" s="71">
        <f t="shared" ref="I55:K55" si="6">H55</f>
        <v>263</v>
      </c>
      <c r="J55" s="71">
        <f t="shared" si="6"/>
        <v>263</v>
      </c>
      <c r="K55" s="71">
        <f t="shared" si="6"/>
        <v>263</v>
      </c>
    </row>
    <row r="56" spans="2:11" ht="28" x14ac:dyDescent="0.3">
      <c r="B56" s="26" t="s">
        <v>127</v>
      </c>
      <c r="C56" s="67">
        <v>8735</v>
      </c>
      <c r="D56" s="67">
        <v>9008</v>
      </c>
      <c r="E56" s="67">
        <v>9474</v>
      </c>
      <c r="F56" s="67">
        <v>10236</v>
      </c>
      <c r="G56" s="67">
        <v>11052</v>
      </c>
      <c r="H56" s="77">
        <f>(Assumptions!H20/365)*'Income Statement'!S11-'Balance Sheet'!H55</f>
        <v>11238.012251536382</v>
      </c>
      <c r="I56" s="77">
        <f>(Assumptions!I20/365)*'Income Statement'!T11-'Balance Sheet'!I55</f>
        <v>12043.083109143929</v>
      </c>
      <c r="J56" s="77">
        <f>(Assumptions!J20/365)*'Income Statement'!U11-'Balance Sheet'!J55</f>
        <v>13027.569757875443</v>
      </c>
      <c r="K56" s="77">
        <f>(Assumptions!K20/365)*'Income Statement'!V11-'Balance Sheet'!K55</f>
        <v>14090.815338505477</v>
      </c>
    </row>
    <row r="57" spans="2:11" x14ac:dyDescent="0.3">
      <c r="B57" s="26" t="s">
        <v>128</v>
      </c>
      <c r="C57" s="67">
        <v>928</v>
      </c>
      <c r="D57" s="67">
        <v>899</v>
      </c>
      <c r="E57" s="67">
        <v>889</v>
      </c>
      <c r="F57" s="67">
        <v>868</v>
      </c>
      <c r="G57" s="67">
        <v>1280</v>
      </c>
      <c r="H57" s="67">
        <v>1280</v>
      </c>
      <c r="I57" s="67">
        <v>1280</v>
      </c>
      <c r="J57" s="67">
        <v>1280</v>
      </c>
      <c r="K57" s="67">
        <v>1280</v>
      </c>
    </row>
    <row r="58" spans="2:11" x14ac:dyDescent="0.3">
      <c r="B58" s="26" t="s">
        <v>129</v>
      </c>
      <c r="C58" s="67">
        <v>588</v>
      </c>
      <c r="D58" s="67">
        <v>665</v>
      </c>
      <c r="E58" s="67">
        <v>764</v>
      </c>
      <c r="F58" s="67">
        <v>807</v>
      </c>
      <c r="G58" s="67">
        <v>959</v>
      </c>
      <c r="H58" s="67">
        <v>959</v>
      </c>
      <c r="I58" s="67">
        <v>959</v>
      </c>
      <c r="J58" s="67">
        <v>959</v>
      </c>
      <c r="K58" s="67">
        <v>959</v>
      </c>
    </row>
    <row r="59" spans="2:11" x14ac:dyDescent="0.3">
      <c r="B59" s="26" t="s">
        <v>121</v>
      </c>
      <c r="C59" s="67">
        <v>507</v>
      </c>
      <c r="D59" s="67">
        <v>346</v>
      </c>
      <c r="E59" s="67">
        <v>389</v>
      </c>
      <c r="F59" s="67">
        <v>340</v>
      </c>
      <c r="G59" s="67">
        <v>675</v>
      </c>
      <c r="H59" s="67">
        <v>675</v>
      </c>
      <c r="I59" s="67">
        <v>675</v>
      </c>
      <c r="J59" s="67">
        <v>675</v>
      </c>
      <c r="K59" s="67">
        <v>675</v>
      </c>
    </row>
    <row r="60" spans="2:11" x14ac:dyDescent="0.3">
      <c r="B60" s="26" t="s">
        <v>142</v>
      </c>
      <c r="C60" s="67">
        <v>0</v>
      </c>
      <c r="D60" s="67">
        <v>0</v>
      </c>
      <c r="E60" s="67">
        <v>0</v>
      </c>
      <c r="F60" s="67">
        <v>0</v>
      </c>
      <c r="G60" s="67">
        <v>1903</v>
      </c>
      <c r="H60" s="67">
        <v>1903</v>
      </c>
      <c r="I60" s="67">
        <v>1903</v>
      </c>
      <c r="J60" s="67">
        <v>1903</v>
      </c>
      <c r="K60" s="67">
        <v>1903</v>
      </c>
    </row>
    <row r="61" spans="2:11" x14ac:dyDescent="0.3">
      <c r="B61" s="25" t="s">
        <v>135</v>
      </c>
      <c r="C61" s="71">
        <f>SUM(C51:C60)</f>
        <v>11103</v>
      </c>
      <c r="D61" s="71">
        <f>SUM(D51:D60)</f>
        <v>11280</v>
      </c>
      <c r="E61" s="71">
        <f>SUM(E51:E60)</f>
        <v>12028</v>
      </c>
      <c r="F61" s="71">
        <f>SUM(F51:F60)</f>
        <v>12879</v>
      </c>
      <c r="G61" s="71">
        <f>SUM(G51:G60)</f>
        <v>16537</v>
      </c>
      <c r="H61" s="71">
        <f t="shared" ref="H61:K61" si="7">SUM(H51:H60)</f>
        <v>16723.012251536384</v>
      </c>
      <c r="I61" s="71">
        <f t="shared" si="7"/>
        <v>17528.083109143929</v>
      </c>
      <c r="J61" s="71">
        <f t="shared" si="7"/>
        <v>18512.569757875441</v>
      </c>
      <c r="K61" s="71">
        <f t="shared" si="7"/>
        <v>19575.815338505476</v>
      </c>
    </row>
    <row r="62" spans="2:11" x14ac:dyDescent="0.3">
      <c r="B62" s="25" t="s">
        <v>136</v>
      </c>
      <c r="C62" s="71">
        <f>C61+C49+C40</f>
        <v>68757</v>
      </c>
      <c r="D62" s="71">
        <f t="shared" ref="D62:K62" si="8">D61+D49+D40</f>
        <v>70517</v>
      </c>
      <c r="E62" s="71">
        <f t="shared" si="8"/>
        <v>73087</v>
      </c>
      <c r="F62" s="71">
        <f t="shared" si="8"/>
        <v>78499</v>
      </c>
      <c r="G62" s="71">
        <f t="shared" si="8"/>
        <v>79880</v>
      </c>
      <c r="H62" s="71">
        <f t="shared" si="8"/>
        <v>82406.97628159626</v>
      </c>
      <c r="I62" s="71">
        <f t="shared" si="8"/>
        <v>86431.987868890137</v>
      </c>
      <c r="J62" s="71">
        <f t="shared" si="8"/>
        <v>91703.672269278904</v>
      </c>
      <c r="K62" s="71">
        <f t="shared" si="8"/>
        <v>98213.47651947687</v>
      </c>
    </row>
    <row r="63" spans="2:11" x14ac:dyDescent="0.3">
      <c r="B63" s="9"/>
      <c r="C63" s="6"/>
      <c r="D63" s="6"/>
      <c r="E63" s="6"/>
      <c r="F63" s="6"/>
      <c r="G63" s="6"/>
      <c r="H63" s="6"/>
      <c r="I63" s="6"/>
      <c r="J63" s="6"/>
      <c r="K63" s="6"/>
    </row>
    <row r="64" spans="2:11" x14ac:dyDescent="0.3">
      <c r="B64" s="9"/>
      <c r="C64" s="6"/>
      <c r="D64" s="6"/>
      <c r="E64" s="6"/>
      <c r="F64" s="6"/>
      <c r="G64" s="6"/>
      <c r="H64" s="6"/>
      <c r="I64" s="6"/>
      <c r="J64" s="6"/>
      <c r="K64" s="6"/>
    </row>
    <row r="65" spans="2:11" ht="28" x14ac:dyDescent="0.3">
      <c r="B65" s="26" t="s">
        <v>140</v>
      </c>
      <c r="C65" s="23" t="str">
        <f>IF(C33-(C61+C49+C40)=0,"Balanced","Error")</f>
        <v>Balanced</v>
      </c>
      <c r="D65" s="23" t="str">
        <f t="shared" ref="D65:K65" si="9">IF(D33-(D61+D49+D40)=0,"Balanced","Error")</f>
        <v>Balanced</v>
      </c>
      <c r="E65" s="23" t="str">
        <f t="shared" si="9"/>
        <v>Balanced</v>
      </c>
      <c r="F65" s="23" t="str">
        <f t="shared" si="9"/>
        <v>Balanced</v>
      </c>
      <c r="G65" s="23" t="str">
        <f t="shared" si="9"/>
        <v>Balanced</v>
      </c>
      <c r="H65" s="23" t="str">
        <f>IF(H33-(H61+H49+H40)=0,"Balanced","Error")</f>
        <v>Error</v>
      </c>
      <c r="I65" s="23" t="str">
        <f t="shared" si="9"/>
        <v>Error</v>
      </c>
      <c r="J65" s="23" t="str">
        <f t="shared" si="9"/>
        <v>Error</v>
      </c>
      <c r="K65" s="23" t="str">
        <f t="shared" si="9"/>
        <v>Error</v>
      </c>
    </row>
    <row r="66" spans="2:11" x14ac:dyDescent="0.3">
      <c r="B66" s="26" t="s">
        <v>141</v>
      </c>
      <c r="C66" s="78">
        <f>C33-(C40+C49+C61)</f>
        <v>0</v>
      </c>
      <c r="D66" s="78">
        <f t="shared" ref="D66:K66" si="10">D33-(D40+D49+D61)</f>
        <v>0</v>
      </c>
      <c r="E66" s="78">
        <f t="shared" si="10"/>
        <v>0</v>
      </c>
      <c r="F66" s="78">
        <f t="shared" si="10"/>
        <v>0</v>
      </c>
      <c r="G66" s="78">
        <f t="shared" si="10"/>
        <v>0</v>
      </c>
      <c r="H66" s="78">
        <f t="shared" si="10"/>
        <v>-1</v>
      </c>
      <c r="I66" s="78">
        <f t="shared" si="10"/>
        <v>-2.0000000000145519</v>
      </c>
      <c r="J66" s="78">
        <f t="shared" si="10"/>
        <v>-2.9999999999854481</v>
      </c>
      <c r="K66" s="78">
        <f t="shared" si="10"/>
        <v>-4</v>
      </c>
    </row>
  </sheetData>
  <mergeCells count="3">
    <mergeCell ref="C3:G3"/>
    <mergeCell ref="H3:K3"/>
    <mergeCell ref="B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7868-5999-4BC4-A1BB-63E24D320C3B}">
  <sheetPr codeName="Sheet5"/>
  <dimension ref="B1:K77"/>
  <sheetViews>
    <sheetView zoomScaleNormal="100" workbookViewId="0"/>
  </sheetViews>
  <sheetFormatPr defaultRowHeight="14" x14ac:dyDescent="0.3"/>
  <cols>
    <col min="1" max="1" width="2.6328125" style="1" customWidth="1"/>
    <col min="2" max="2" width="45.6328125" style="1" customWidth="1"/>
    <col min="3" max="11" width="8.7265625" style="7"/>
    <col min="12" max="16384" width="8.7265625" style="1"/>
  </cols>
  <sheetData>
    <row r="1" spans="2:11" ht="20" customHeight="1" x14ac:dyDescent="0.4">
      <c r="B1" s="76" t="s">
        <v>22</v>
      </c>
      <c r="C1" s="42"/>
      <c r="D1" s="42"/>
      <c r="E1" s="42"/>
      <c r="F1" s="42"/>
      <c r="G1" s="42"/>
      <c r="H1" s="42"/>
      <c r="I1" s="42"/>
      <c r="J1" s="42"/>
      <c r="K1" s="42"/>
    </row>
    <row r="2" spans="2:11" x14ac:dyDescent="0.3"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5"/>
      <c r="C3" s="38" t="s">
        <v>20</v>
      </c>
      <c r="D3" s="38"/>
      <c r="E3" s="38"/>
      <c r="F3" s="38"/>
      <c r="G3" s="38"/>
      <c r="H3" s="38" t="s">
        <v>21</v>
      </c>
      <c r="I3" s="38"/>
      <c r="J3" s="38"/>
      <c r="K3" s="38"/>
    </row>
    <row r="4" spans="2:11" x14ac:dyDescent="0.3">
      <c r="B4" s="22"/>
      <c r="C4" s="66">
        <v>2021</v>
      </c>
      <c r="D4" s="69">
        <f>C4+1</f>
        <v>2022</v>
      </c>
      <c r="E4" s="69">
        <f t="shared" ref="E4:K4" si="0">D4+1</f>
        <v>2023</v>
      </c>
      <c r="F4" s="69">
        <f t="shared" si="0"/>
        <v>2024</v>
      </c>
      <c r="G4" s="69">
        <f t="shared" si="0"/>
        <v>2025</v>
      </c>
      <c r="H4" s="69">
        <f t="shared" si="0"/>
        <v>2026</v>
      </c>
      <c r="I4" s="69">
        <f t="shared" si="0"/>
        <v>2027</v>
      </c>
      <c r="J4" s="69">
        <f t="shared" si="0"/>
        <v>2028</v>
      </c>
      <c r="K4" s="69">
        <f t="shared" si="0"/>
        <v>2029</v>
      </c>
    </row>
    <row r="5" spans="2:11" ht="36" x14ac:dyDescent="0.3">
      <c r="B5" s="79" t="s">
        <v>23</v>
      </c>
      <c r="C5" s="23"/>
      <c r="D5" s="23"/>
      <c r="E5" s="23"/>
      <c r="F5" s="23"/>
      <c r="G5" s="23"/>
      <c r="H5" s="23"/>
      <c r="I5" s="23"/>
      <c r="J5" s="23"/>
      <c r="K5" s="23"/>
    </row>
    <row r="6" spans="2:11" x14ac:dyDescent="0.3">
      <c r="B6" s="16" t="s">
        <v>16</v>
      </c>
      <c r="C6" s="67">
        <v>10606</v>
      </c>
      <c r="D6" s="67">
        <v>11874</v>
      </c>
      <c r="E6" s="67">
        <v>13346</v>
      </c>
      <c r="F6" s="67">
        <v>13926</v>
      </c>
      <c r="G6" s="67">
        <v>14415</v>
      </c>
      <c r="H6" s="70">
        <f>'Income Statement'!H22</f>
        <v>15881.171768017448</v>
      </c>
      <c r="I6" s="70">
        <f>'Income Statement'!I22</f>
        <v>17070.101391778662</v>
      </c>
      <c r="J6" s="70">
        <f>'Income Statement'!J22</f>
        <v>18513.704493120968</v>
      </c>
      <c r="K6" s="70">
        <f>'Income Statement'!K22</f>
        <v>20081.890021270621</v>
      </c>
    </row>
    <row r="7" spans="2:11" x14ac:dyDescent="0.3">
      <c r="B7" s="16" t="s">
        <v>24</v>
      </c>
      <c r="C7" s="23"/>
      <c r="D7" s="23"/>
      <c r="E7" s="23"/>
      <c r="F7" s="23"/>
      <c r="G7" s="23"/>
      <c r="H7" s="23"/>
      <c r="I7" s="23"/>
      <c r="J7" s="23"/>
      <c r="K7" s="23"/>
    </row>
    <row r="8" spans="2:11" x14ac:dyDescent="0.3">
      <c r="B8" s="16" t="s">
        <v>25</v>
      </c>
      <c r="C8" s="67">
        <v>1134</v>
      </c>
      <c r="D8" s="67">
        <v>1106</v>
      </c>
      <c r="E8" s="67">
        <v>1152</v>
      </c>
      <c r="F8" s="67">
        <v>1216</v>
      </c>
      <c r="G8" s="67">
        <v>1363</v>
      </c>
      <c r="H8" s="70">
        <f>'Income Statement'!H16</f>
        <v>1385.2812268759528</v>
      </c>
      <c r="I8" s="70">
        <f>'Income Statement'!I16</f>
        <v>1482.2509127572696</v>
      </c>
      <c r="J8" s="70">
        <f>'Income Statement'!J16</f>
        <v>1600.8309857778511</v>
      </c>
      <c r="K8" s="70">
        <f>'Income Statement'!K16</f>
        <v>1728.8974646400791</v>
      </c>
    </row>
    <row r="9" spans="2:11" ht="28" x14ac:dyDescent="0.3">
      <c r="B9" s="16" t="s">
        <v>26</v>
      </c>
      <c r="C9" s="67">
        <v>-57</v>
      </c>
      <c r="D9" s="67">
        <v>-97</v>
      </c>
      <c r="E9" s="67">
        <v>-100</v>
      </c>
      <c r="F9" s="67">
        <v>18</v>
      </c>
      <c r="G9" s="67">
        <v>43</v>
      </c>
      <c r="H9" s="67">
        <v>0</v>
      </c>
      <c r="I9" s="67">
        <v>0</v>
      </c>
      <c r="J9" s="67">
        <v>0</v>
      </c>
      <c r="K9" s="67">
        <v>0</v>
      </c>
    </row>
    <row r="10" spans="2:11" x14ac:dyDescent="0.3">
      <c r="B10" s="16" t="s">
        <v>27</v>
      </c>
      <c r="C10" s="67">
        <v>13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</row>
    <row r="11" spans="2:11" ht="28" x14ac:dyDescent="0.3">
      <c r="B11" s="16" t="s">
        <v>28</v>
      </c>
      <c r="C11" s="67">
        <v>-22</v>
      </c>
      <c r="D11" s="67">
        <v>-9</v>
      </c>
      <c r="E11" s="67">
        <v>-2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</row>
    <row r="12" spans="2:11" x14ac:dyDescent="0.3">
      <c r="B12" s="16" t="s">
        <v>85</v>
      </c>
      <c r="C12" s="67">
        <v>0</v>
      </c>
      <c r="D12" s="67">
        <v>0</v>
      </c>
      <c r="E12" s="67">
        <v>0</v>
      </c>
      <c r="F12" s="67">
        <v>-132</v>
      </c>
      <c r="G12" s="67">
        <v>120</v>
      </c>
      <c r="H12" s="67">
        <v>0</v>
      </c>
      <c r="I12" s="67">
        <v>0</v>
      </c>
      <c r="J12" s="67">
        <v>0</v>
      </c>
      <c r="K12" s="67">
        <v>0</v>
      </c>
    </row>
    <row r="13" spans="2:11" x14ac:dyDescent="0.3">
      <c r="B13" s="16" t="s">
        <v>29</v>
      </c>
      <c r="C13" s="67">
        <v>-346</v>
      </c>
      <c r="D13" s="67">
        <v>-198</v>
      </c>
      <c r="E13" s="67">
        <v>-411</v>
      </c>
      <c r="F13" s="67">
        <v>-546</v>
      </c>
      <c r="G13" s="67">
        <v>-755</v>
      </c>
      <c r="H13" s="70">
        <f>-('Income Statement'!H7)</f>
        <v>-1149.21</v>
      </c>
      <c r="I13" s="70">
        <f>-('Income Statement'!I7)</f>
        <v>-1298.6073000000001</v>
      </c>
      <c r="J13" s="70">
        <f>-('Income Statement'!J7)</f>
        <v>-1467.4262490000001</v>
      </c>
      <c r="K13" s="70">
        <f>-('Income Statement'!K7)</f>
        <v>-1658.19166137</v>
      </c>
    </row>
    <row r="14" spans="2:11" x14ac:dyDescent="0.3">
      <c r="B14" s="16" t="s">
        <v>30</v>
      </c>
      <c r="C14" s="67">
        <v>-1</v>
      </c>
      <c r="D14" s="67">
        <v>-1</v>
      </c>
      <c r="E14" s="67">
        <v>-2</v>
      </c>
      <c r="F14" s="67">
        <v>-3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</row>
    <row r="15" spans="2:11" ht="28" x14ac:dyDescent="0.3">
      <c r="B15" s="16" t="s">
        <v>31</v>
      </c>
      <c r="C15" s="67">
        <v>-63</v>
      </c>
      <c r="D15" s="67">
        <v>-59</v>
      </c>
      <c r="E15" s="67">
        <v>-99</v>
      </c>
      <c r="F15" s="67">
        <v>-249</v>
      </c>
      <c r="G15" s="67">
        <v>-256</v>
      </c>
      <c r="H15" s="67">
        <v>0</v>
      </c>
      <c r="I15" s="67">
        <v>0</v>
      </c>
      <c r="J15" s="67">
        <v>0</v>
      </c>
      <c r="K15" s="67">
        <v>0</v>
      </c>
    </row>
    <row r="16" spans="2:11" x14ac:dyDescent="0.3">
      <c r="B16" s="16" t="s">
        <v>32</v>
      </c>
      <c r="C16" s="67">
        <v>117</v>
      </c>
      <c r="D16" s="67">
        <v>106</v>
      </c>
      <c r="E16" s="67">
        <v>114</v>
      </c>
      <c r="F16" s="67">
        <v>317</v>
      </c>
      <c r="G16" s="67">
        <v>372</v>
      </c>
      <c r="H16" s="70">
        <f>'Income Statement'!H15</f>
        <v>414.75</v>
      </c>
      <c r="I16" s="70">
        <f>'Income Statement'!I15</f>
        <v>435.48750000000001</v>
      </c>
      <c r="J16" s="70">
        <f>'Income Statement'!J15</f>
        <v>457.26187500000003</v>
      </c>
      <c r="K16" s="70">
        <f>'Income Statement'!K15</f>
        <v>480.12496875000005</v>
      </c>
    </row>
    <row r="17" spans="2:11" x14ac:dyDescent="0.3">
      <c r="B17" s="16" t="s">
        <v>88</v>
      </c>
      <c r="C17" s="67">
        <v>0</v>
      </c>
      <c r="D17" s="67">
        <v>0</v>
      </c>
      <c r="E17" s="67">
        <v>0</v>
      </c>
      <c r="F17" s="67">
        <v>0</v>
      </c>
      <c r="G17" s="67">
        <v>-595</v>
      </c>
      <c r="H17" s="67">
        <v>0</v>
      </c>
      <c r="I17" s="67">
        <v>0</v>
      </c>
      <c r="J17" s="67">
        <v>0</v>
      </c>
      <c r="K17" s="67">
        <v>0</v>
      </c>
    </row>
    <row r="18" spans="2:11" x14ac:dyDescent="0.3">
      <c r="B18" s="16" t="s">
        <v>86</v>
      </c>
      <c r="C18" s="67">
        <v>0</v>
      </c>
      <c r="D18" s="67">
        <v>0</v>
      </c>
      <c r="E18" s="67">
        <v>0</v>
      </c>
      <c r="F18" s="67">
        <v>-159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</row>
    <row r="19" spans="2:11" ht="28" x14ac:dyDescent="0.3">
      <c r="B19" s="16" t="s">
        <v>33</v>
      </c>
      <c r="C19" s="67">
        <v>-1</v>
      </c>
      <c r="D19" s="67">
        <v>-1</v>
      </c>
      <c r="E19" s="67">
        <v>1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</row>
    <row r="20" spans="2:11" x14ac:dyDescent="0.3">
      <c r="B20" s="16" t="s">
        <v>73</v>
      </c>
      <c r="C20" s="67">
        <v>0</v>
      </c>
      <c r="D20" s="67">
        <v>-29</v>
      </c>
      <c r="E20" s="67">
        <v>-60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</row>
    <row r="21" spans="2:11" ht="28" x14ac:dyDescent="0.3">
      <c r="B21" s="16" t="s">
        <v>77</v>
      </c>
      <c r="C21" s="67">
        <v>0</v>
      </c>
      <c r="D21" s="67">
        <v>0</v>
      </c>
      <c r="E21" s="67">
        <v>-1</v>
      </c>
      <c r="F21" s="67">
        <v>-1</v>
      </c>
      <c r="G21" s="67">
        <v>-1</v>
      </c>
      <c r="H21" s="67">
        <v>-1</v>
      </c>
      <c r="I21" s="67">
        <v>-1</v>
      </c>
      <c r="J21" s="67">
        <v>-1</v>
      </c>
      <c r="K21" s="67">
        <v>-1</v>
      </c>
    </row>
    <row r="22" spans="2:11" x14ac:dyDescent="0.3">
      <c r="B22" s="16" t="s">
        <v>87</v>
      </c>
      <c r="C22" s="67">
        <v>0</v>
      </c>
      <c r="D22" s="67">
        <v>0</v>
      </c>
      <c r="E22" s="67">
        <v>1</v>
      </c>
      <c r="F22" s="67">
        <v>4</v>
      </c>
      <c r="G22" s="67">
        <v>8</v>
      </c>
      <c r="H22" s="67">
        <v>0</v>
      </c>
      <c r="I22" s="67">
        <v>0</v>
      </c>
      <c r="J22" s="67">
        <v>0</v>
      </c>
      <c r="K22" s="67">
        <v>0</v>
      </c>
    </row>
    <row r="23" spans="2:11" x14ac:dyDescent="0.3">
      <c r="B23" s="16" t="s">
        <v>78</v>
      </c>
      <c r="C23" s="67">
        <v>0</v>
      </c>
      <c r="D23" s="67">
        <v>0</v>
      </c>
      <c r="E23" s="67">
        <v>2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</row>
    <row r="24" spans="2:11" ht="28" x14ac:dyDescent="0.3">
      <c r="B24" s="16" t="s">
        <v>34</v>
      </c>
      <c r="C24" s="67">
        <v>201</v>
      </c>
      <c r="D24" s="67">
        <v>156</v>
      </c>
      <c r="E24" s="67">
        <v>184</v>
      </c>
      <c r="F24" s="67">
        <v>167</v>
      </c>
      <c r="G24" s="67">
        <v>189</v>
      </c>
      <c r="H24" s="67">
        <v>0</v>
      </c>
      <c r="I24" s="67">
        <v>0</v>
      </c>
      <c r="J24" s="67">
        <v>0</v>
      </c>
      <c r="K24" s="67">
        <v>0</v>
      </c>
    </row>
    <row r="25" spans="2:11" ht="28" x14ac:dyDescent="0.3">
      <c r="B25" s="16" t="s">
        <v>35</v>
      </c>
      <c r="C25" s="67">
        <v>77</v>
      </c>
      <c r="D25" s="67">
        <v>-15</v>
      </c>
      <c r="E25" s="67">
        <v>-27</v>
      </c>
      <c r="F25" s="67">
        <v>-11</v>
      </c>
      <c r="G25" s="67">
        <v>24</v>
      </c>
      <c r="H25" s="67">
        <v>0</v>
      </c>
      <c r="I25" s="67">
        <v>0</v>
      </c>
      <c r="J25" s="67">
        <v>0</v>
      </c>
      <c r="K25" s="67">
        <v>0</v>
      </c>
    </row>
    <row r="26" spans="2:11" x14ac:dyDescent="0.3">
      <c r="B26" s="16" t="s">
        <v>89</v>
      </c>
      <c r="C26" s="67">
        <v>0</v>
      </c>
      <c r="D26" s="67">
        <v>0</v>
      </c>
      <c r="E26" s="67">
        <v>0</v>
      </c>
      <c r="F26" s="67">
        <v>0</v>
      </c>
      <c r="G26" s="67">
        <v>11</v>
      </c>
      <c r="H26" s="67">
        <v>0</v>
      </c>
      <c r="I26" s="67">
        <v>0</v>
      </c>
      <c r="J26" s="67">
        <v>0</v>
      </c>
      <c r="K26" s="67">
        <v>0</v>
      </c>
    </row>
    <row r="27" spans="2:11" ht="28" x14ac:dyDescent="0.3">
      <c r="B27" s="16" t="s">
        <v>36</v>
      </c>
      <c r="C27" s="67">
        <v>14</v>
      </c>
      <c r="D27" s="67">
        <v>-4</v>
      </c>
      <c r="E27" s="67">
        <v>-8</v>
      </c>
      <c r="F27" s="67">
        <v>-10</v>
      </c>
      <c r="G27" s="67">
        <v>4</v>
      </c>
      <c r="H27" s="67">
        <v>0</v>
      </c>
      <c r="I27" s="67">
        <v>0</v>
      </c>
      <c r="J27" s="67">
        <v>0</v>
      </c>
      <c r="K27" s="67">
        <v>0</v>
      </c>
    </row>
    <row r="28" spans="2:11" ht="28" x14ac:dyDescent="0.3">
      <c r="B28" s="16" t="s">
        <v>37</v>
      </c>
      <c r="C28" s="71">
        <f t="shared" ref="C28:K28" si="1">SUM(C6:C27)</f>
        <v>11672</v>
      </c>
      <c r="D28" s="71">
        <f t="shared" si="1"/>
        <v>12829</v>
      </c>
      <c r="E28" s="71">
        <f t="shared" si="1"/>
        <v>14090</v>
      </c>
      <c r="F28" s="71">
        <f t="shared" si="1"/>
        <v>14537</v>
      </c>
      <c r="G28" s="71">
        <f t="shared" si="1"/>
        <v>14942</v>
      </c>
      <c r="H28" s="71">
        <f t="shared" si="1"/>
        <v>16530.9929948934</v>
      </c>
      <c r="I28" s="71">
        <f t="shared" si="1"/>
        <v>17688.232504535932</v>
      </c>
      <c r="J28" s="71">
        <f t="shared" si="1"/>
        <v>19103.371104898819</v>
      </c>
      <c r="K28" s="71">
        <f t="shared" si="1"/>
        <v>20631.720793290697</v>
      </c>
    </row>
    <row r="29" spans="2:11" x14ac:dyDescent="0.3">
      <c r="B29" s="16" t="s">
        <v>24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2:11" x14ac:dyDescent="0.3">
      <c r="B30" s="16" t="s">
        <v>38</v>
      </c>
      <c r="C30" s="67">
        <v>-4</v>
      </c>
      <c r="D30" s="67">
        <v>3</v>
      </c>
      <c r="E30" s="67">
        <v>-14</v>
      </c>
      <c r="F30" s="67">
        <v>-30</v>
      </c>
      <c r="G30" s="67">
        <v>-87</v>
      </c>
      <c r="H30" s="23"/>
      <c r="I30" s="23"/>
      <c r="J30" s="23"/>
      <c r="K30" s="23"/>
    </row>
    <row r="31" spans="2:11" x14ac:dyDescent="0.3">
      <c r="B31" s="16" t="s">
        <v>39</v>
      </c>
      <c r="C31" s="67">
        <v>-412</v>
      </c>
      <c r="D31" s="67">
        <v>-480</v>
      </c>
      <c r="E31" s="67">
        <v>-1111</v>
      </c>
      <c r="F31" s="67">
        <v>220</v>
      </c>
      <c r="G31" s="67">
        <v>-1275</v>
      </c>
      <c r="H31" s="70">
        <f>'Balance Sheet'!G26-'Balance Sheet'!H26</f>
        <v>152.79397260274027</v>
      </c>
      <c r="I31" s="70">
        <f>'Balance Sheet'!H26-'Balance Sheet'!I26</f>
        <v>-256.6344219178086</v>
      </c>
      <c r="J31" s="70">
        <f>'Balance Sheet'!I26-'Balance Sheet'!J26</f>
        <v>-313.82723594520485</v>
      </c>
      <c r="K31" s="70">
        <f>'Balance Sheet'!J26-'Balance Sheet'!K26</f>
        <v>-338.93341482082178</v>
      </c>
    </row>
    <row r="32" spans="2:11" x14ac:dyDescent="0.3">
      <c r="B32" s="16" t="s">
        <v>40</v>
      </c>
      <c r="C32" s="67">
        <v>-543</v>
      </c>
      <c r="D32" s="67">
        <v>-758</v>
      </c>
      <c r="E32" s="67">
        <v>-339</v>
      </c>
      <c r="F32" s="67">
        <v>74</v>
      </c>
      <c r="G32" s="67">
        <v>-584</v>
      </c>
      <c r="H32" s="70">
        <f>'Balance Sheet'!G22-'Balance Sheet'!H22</f>
        <v>-8.4662505909163883</v>
      </c>
      <c r="I32" s="70">
        <f>'Balance Sheet'!H22-'Balance Sheet'!I22</f>
        <v>-309.64263754136391</v>
      </c>
      <c r="J32" s="70">
        <f>'Balance Sheet'!I22-'Balance Sheet'!J22</f>
        <v>-378.64871105058228</v>
      </c>
      <c r="K32" s="70">
        <f>'Balance Sheet'!J22-'Balance Sheet'!K22</f>
        <v>-408.94060793462904</v>
      </c>
    </row>
    <row r="33" spans="2:11" x14ac:dyDescent="0.3">
      <c r="B33" s="16" t="s">
        <v>41</v>
      </c>
      <c r="C33" s="67">
        <v>28</v>
      </c>
      <c r="D33" s="67">
        <v>86</v>
      </c>
      <c r="E33" s="67">
        <v>-116</v>
      </c>
      <c r="F33" s="67">
        <v>128</v>
      </c>
      <c r="G33" s="67">
        <v>-284</v>
      </c>
      <c r="H33" s="67">
        <v>0</v>
      </c>
      <c r="I33" s="67">
        <v>0</v>
      </c>
      <c r="J33" s="67">
        <v>0</v>
      </c>
      <c r="K33" s="67">
        <v>0</v>
      </c>
    </row>
    <row r="34" spans="2:11" x14ac:dyDescent="0.3">
      <c r="B34" s="16" t="s">
        <v>42</v>
      </c>
      <c r="C34" s="67">
        <v>830</v>
      </c>
      <c r="D34" s="67">
        <v>149</v>
      </c>
      <c r="E34" s="67">
        <v>622</v>
      </c>
      <c r="F34" s="67">
        <v>921</v>
      </c>
      <c r="G34" s="67">
        <v>1442</v>
      </c>
      <c r="H34" s="70">
        <f>('Balance Sheet'!H55+'Balance Sheet'!H56)-('Balance Sheet'!G55+'Balance Sheet'!G56)</f>
        <v>186.01225153638188</v>
      </c>
      <c r="I34" s="70">
        <f>('Balance Sheet'!I55+'Balance Sheet'!I56)-('Balance Sheet'!H55+'Balance Sheet'!H56)</f>
        <v>805.07085760754671</v>
      </c>
      <c r="J34" s="70">
        <f>('Balance Sheet'!J55+'Balance Sheet'!J56)-('Balance Sheet'!I55+'Balance Sheet'!I56)</f>
        <v>984.48664873151392</v>
      </c>
      <c r="K34" s="70">
        <f>('Balance Sheet'!K55+'Balance Sheet'!K56)-('Balance Sheet'!J55+'Balance Sheet'!J56)</f>
        <v>1063.245580630035</v>
      </c>
    </row>
    <row r="35" spans="2:11" x14ac:dyDescent="0.3">
      <c r="B35" s="16" t="s">
        <v>43</v>
      </c>
      <c r="C35" s="71">
        <f>SUM(C28:C34)</f>
        <v>11571</v>
      </c>
      <c r="D35" s="71">
        <f t="shared" ref="D35:G35" si="2">SUM(D28:D34)</f>
        <v>11829</v>
      </c>
      <c r="E35" s="71">
        <f t="shared" si="2"/>
        <v>13132</v>
      </c>
      <c r="F35" s="71">
        <f t="shared" si="2"/>
        <v>15850</v>
      </c>
      <c r="G35" s="71">
        <f t="shared" si="2"/>
        <v>14154</v>
      </c>
      <c r="H35" s="71">
        <f>SUM(H28:H34)</f>
        <v>16861.332968441609</v>
      </c>
      <c r="I35" s="71">
        <f>SUM(I28:I34)</f>
        <v>17927.026302684302</v>
      </c>
      <c r="J35" s="71">
        <f>SUM(J28:J34)</f>
        <v>19395.381806634548</v>
      </c>
      <c r="K35" s="71">
        <f>SUM(K28:K34)</f>
        <v>20947.09235116528</v>
      </c>
    </row>
    <row r="36" spans="2:11" x14ac:dyDescent="0.3">
      <c r="B36" s="16" t="s">
        <v>44</v>
      </c>
      <c r="C36" s="67">
        <v>-2407</v>
      </c>
      <c r="D36" s="67">
        <v>-2784</v>
      </c>
      <c r="E36" s="67">
        <v>-3138</v>
      </c>
      <c r="F36" s="67">
        <v>-381</v>
      </c>
      <c r="G36" s="67">
        <v>-2268</v>
      </c>
      <c r="H36" s="70">
        <f>'Income Statement'!H24</f>
        <v>-4140.2077379575749</v>
      </c>
      <c r="I36" s="70">
        <f>'Income Statement'!I24</f>
        <v>-4450.1606620923194</v>
      </c>
      <c r="J36" s="70">
        <f>'Income Statement'!J24</f>
        <v>-4826.5067414637097</v>
      </c>
      <c r="K36" s="70">
        <f>'Income Statement'!K24</f>
        <v>-5235.3313517027054</v>
      </c>
    </row>
    <row r="37" spans="2:11" x14ac:dyDescent="0.3">
      <c r="B37" s="16" t="s">
        <v>79</v>
      </c>
      <c r="C37" s="67">
        <v>0</v>
      </c>
      <c r="D37" s="67">
        <v>0</v>
      </c>
      <c r="E37" s="67">
        <v>-1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</row>
    <row r="38" spans="2:11" x14ac:dyDescent="0.3">
      <c r="B38" s="16" t="s">
        <v>45</v>
      </c>
      <c r="C38" s="67">
        <v>-1</v>
      </c>
      <c r="D38" s="67">
        <v>3</v>
      </c>
      <c r="E38" s="67">
        <v>-1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</row>
    <row r="39" spans="2:11" ht="28" x14ac:dyDescent="0.3">
      <c r="B39" s="14" t="s">
        <v>46</v>
      </c>
      <c r="C39" s="71">
        <f>SUM(C35:C38)</f>
        <v>9163</v>
      </c>
      <c r="D39" s="71">
        <f t="shared" ref="D39:K39" si="3">SUM(D35:D38)</f>
        <v>9048</v>
      </c>
      <c r="E39" s="71">
        <f t="shared" si="3"/>
        <v>9992</v>
      </c>
      <c r="F39" s="71">
        <f t="shared" si="3"/>
        <v>15469</v>
      </c>
      <c r="G39" s="71">
        <f t="shared" si="3"/>
        <v>11886</v>
      </c>
      <c r="H39" s="71">
        <f t="shared" si="3"/>
        <v>12721.125230484035</v>
      </c>
      <c r="I39" s="71">
        <f t="shared" si="3"/>
        <v>13476.865640591983</v>
      </c>
      <c r="J39" s="71">
        <f t="shared" si="3"/>
        <v>14568.87506517084</v>
      </c>
      <c r="K39" s="71">
        <f t="shared" si="3"/>
        <v>15711.760999462575</v>
      </c>
    </row>
    <row r="40" spans="2:11" x14ac:dyDescent="0.3">
      <c r="B40" s="27"/>
      <c r="C40" s="23"/>
      <c r="D40" s="23"/>
      <c r="E40" s="23"/>
      <c r="F40" s="23"/>
      <c r="G40" s="23"/>
      <c r="H40" s="23"/>
      <c r="I40" s="23"/>
      <c r="J40" s="23"/>
      <c r="K40" s="23"/>
    </row>
    <row r="41" spans="2:11" x14ac:dyDescent="0.3">
      <c r="B41" s="28" t="s">
        <v>47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2:11" x14ac:dyDescent="0.3">
      <c r="B42" s="27" t="s">
        <v>48</v>
      </c>
      <c r="C42" s="67">
        <v>-741</v>
      </c>
      <c r="D42" s="67">
        <v>-1225</v>
      </c>
      <c r="E42" s="67">
        <v>-1174</v>
      </c>
      <c r="F42" s="67">
        <v>-1468</v>
      </c>
      <c r="G42" s="67">
        <v>-1254</v>
      </c>
      <c r="H42" s="70">
        <f>-(Assumptions!H24*'Income Statement'!H6)</f>
        <v>-1338.1651999999999</v>
      </c>
      <c r="I42" s="70">
        <f>-(Assumptions!I24*'Income Statement'!I6)</f>
        <v>-1431.8367639999999</v>
      </c>
      <c r="J42" s="70">
        <f>-(Assumptions!J24*'Income Statement'!J6)</f>
        <v>-1546.3837051200001</v>
      </c>
      <c r="K42" s="70">
        <f>-(Assumptions!K24*'Income Statement'!K6)</f>
        <v>-1670.0944015296</v>
      </c>
    </row>
    <row r="43" spans="2:11" x14ac:dyDescent="0.3">
      <c r="B43" s="27" t="s">
        <v>49</v>
      </c>
      <c r="C43" s="67">
        <v>97</v>
      </c>
      <c r="D43" s="67">
        <v>146</v>
      </c>
      <c r="E43" s="67">
        <v>121</v>
      </c>
      <c r="F43" s="67">
        <v>20</v>
      </c>
      <c r="G43" s="67">
        <v>13</v>
      </c>
      <c r="H43" s="67">
        <v>0</v>
      </c>
      <c r="I43" s="67">
        <v>0</v>
      </c>
      <c r="J43" s="67">
        <v>0</v>
      </c>
      <c r="K43" s="67">
        <v>0</v>
      </c>
    </row>
    <row r="44" spans="2:11" x14ac:dyDescent="0.3">
      <c r="B44" s="27" t="s">
        <v>50</v>
      </c>
      <c r="C44" s="67">
        <v>-3422</v>
      </c>
      <c r="D44" s="67">
        <v>-3</v>
      </c>
      <c r="E44" s="67">
        <v>-18</v>
      </c>
      <c r="F44" s="67">
        <v>-9</v>
      </c>
      <c r="G44" s="67">
        <v>-21</v>
      </c>
      <c r="H44" s="67">
        <v>0</v>
      </c>
      <c r="I44" s="67">
        <v>0</v>
      </c>
      <c r="J44" s="67">
        <v>0</v>
      </c>
      <c r="K44" s="67">
        <v>0</v>
      </c>
    </row>
    <row r="45" spans="2:11" x14ac:dyDescent="0.3">
      <c r="B45" s="27" t="s">
        <v>90</v>
      </c>
      <c r="C45" s="67">
        <v>0</v>
      </c>
      <c r="D45" s="67">
        <v>0</v>
      </c>
      <c r="E45" s="67">
        <v>0</v>
      </c>
      <c r="F45" s="67">
        <v>0</v>
      </c>
      <c r="G45" s="67">
        <v>595</v>
      </c>
      <c r="H45" s="67">
        <v>0</v>
      </c>
      <c r="I45" s="67">
        <v>0</v>
      </c>
      <c r="J45" s="67">
        <v>0</v>
      </c>
      <c r="K45" s="67">
        <v>0</v>
      </c>
    </row>
    <row r="46" spans="2:11" x14ac:dyDescent="0.3">
      <c r="B46" s="27" t="s">
        <v>74</v>
      </c>
      <c r="C46" s="67">
        <v>0</v>
      </c>
      <c r="D46" s="67">
        <v>29</v>
      </c>
      <c r="E46" s="67">
        <v>60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</row>
    <row r="47" spans="2:11" x14ac:dyDescent="0.3">
      <c r="B47" s="27" t="s">
        <v>80</v>
      </c>
      <c r="C47" s="67">
        <v>0</v>
      </c>
      <c r="D47" s="67">
        <v>0</v>
      </c>
      <c r="E47" s="67">
        <v>-264</v>
      </c>
      <c r="F47" s="67">
        <v>0</v>
      </c>
      <c r="G47" s="67">
        <v>0</v>
      </c>
      <c r="H47" s="67">
        <v>0</v>
      </c>
      <c r="I47" s="67">
        <v>0</v>
      </c>
      <c r="J47" s="67">
        <v>0</v>
      </c>
      <c r="K47" s="67">
        <v>0</v>
      </c>
    </row>
    <row r="48" spans="2:11" x14ac:dyDescent="0.3">
      <c r="B48" s="27" t="s">
        <v>82</v>
      </c>
      <c r="C48" s="67">
        <v>0</v>
      </c>
      <c r="D48" s="67">
        <v>0</v>
      </c>
      <c r="E48" s="67">
        <v>-70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</row>
    <row r="49" spans="2:11" x14ac:dyDescent="0.3">
      <c r="B49" s="27" t="s">
        <v>81</v>
      </c>
      <c r="C49" s="67">
        <v>0</v>
      </c>
      <c r="D49" s="67">
        <v>0</v>
      </c>
      <c r="E49" s="67">
        <v>-2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</row>
    <row r="50" spans="2:11" ht="28" x14ac:dyDescent="0.3">
      <c r="B50" s="27" t="s">
        <v>51</v>
      </c>
      <c r="C50" s="67">
        <v>-33</v>
      </c>
      <c r="D50" s="67">
        <v>-41</v>
      </c>
      <c r="E50" s="67">
        <v>-40</v>
      </c>
      <c r="F50" s="67">
        <v>-4</v>
      </c>
      <c r="G50" s="67">
        <v>0</v>
      </c>
      <c r="H50" s="67">
        <v>0</v>
      </c>
      <c r="I50" s="67">
        <v>0</v>
      </c>
      <c r="J50" s="67">
        <v>0</v>
      </c>
      <c r="K50" s="67">
        <v>0</v>
      </c>
    </row>
    <row r="51" spans="2:11" x14ac:dyDescent="0.3">
      <c r="B51" s="27" t="s">
        <v>52</v>
      </c>
      <c r="C51" s="67">
        <v>-39876</v>
      </c>
      <c r="D51" s="67">
        <v>-48522</v>
      </c>
      <c r="E51" s="67">
        <v>-22649</v>
      </c>
      <c r="F51" s="67">
        <v>-21337</v>
      </c>
      <c r="G51" s="67">
        <v>-22957</v>
      </c>
      <c r="H51" s="23"/>
      <c r="I51" s="23"/>
      <c r="J51" s="23"/>
      <c r="K51" s="23"/>
    </row>
    <row r="52" spans="2:11" x14ac:dyDescent="0.3">
      <c r="B52" s="27" t="s">
        <v>53</v>
      </c>
      <c r="C52" s="67">
        <v>38486</v>
      </c>
      <c r="D52" s="67">
        <v>47786</v>
      </c>
      <c r="E52" s="67">
        <v>23462</v>
      </c>
      <c r="F52" s="67">
        <v>19846</v>
      </c>
      <c r="G52" s="67">
        <v>23987</v>
      </c>
      <c r="H52" s="23"/>
      <c r="I52" s="23"/>
      <c r="J52" s="23"/>
      <c r="K52" s="23"/>
    </row>
    <row r="53" spans="2:11" x14ac:dyDescent="0.3">
      <c r="B53" s="27" t="s">
        <v>54</v>
      </c>
      <c r="C53" s="67">
        <v>-44</v>
      </c>
      <c r="D53" s="67">
        <v>0</v>
      </c>
      <c r="E53" s="67">
        <v>0</v>
      </c>
      <c r="F53" s="67">
        <v>0</v>
      </c>
      <c r="G53" s="67">
        <v>0</v>
      </c>
      <c r="H53" s="67">
        <v>0</v>
      </c>
      <c r="I53" s="67">
        <v>0</v>
      </c>
      <c r="J53" s="67">
        <v>0</v>
      </c>
      <c r="K53" s="67">
        <v>0</v>
      </c>
    </row>
    <row r="54" spans="2:11" x14ac:dyDescent="0.3">
      <c r="B54" s="27" t="s">
        <v>75</v>
      </c>
      <c r="C54" s="67">
        <v>0</v>
      </c>
      <c r="D54" s="67">
        <v>-4</v>
      </c>
      <c r="E54" s="67">
        <v>-1</v>
      </c>
      <c r="F54" s="67">
        <v>1</v>
      </c>
      <c r="G54" s="67">
        <v>0</v>
      </c>
      <c r="H54" s="23"/>
      <c r="I54" s="23"/>
      <c r="J54" s="23"/>
      <c r="K54" s="23"/>
    </row>
    <row r="55" spans="2:11" ht="28" x14ac:dyDescent="0.3">
      <c r="B55" s="27" t="s">
        <v>55</v>
      </c>
      <c r="C55" s="67">
        <v>-2874</v>
      </c>
      <c r="D55" s="67">
        <v>-3711</v>
      </c>
      <c r="E55" s="67">
        <v>-3668</v>
      </c>
      <c r="F55" s="67">
        <v>-9170</v>
      </c>
      <c r="G55" s="67">
        <v>-2499</v>
      </c>
      <c r="H55" s="23"/>
      <c r="I55" s="23"/>
      <c r="J55" s="23"/>
      <c r="K55" s="23"/>
    </row>
    <row r="56" spans="2:11" ht="28" x14ac:dyDescent="0.3">
      <c r="B56" s="27" t="s">
        <v>56</v>
      </c>
      <c r="C56" s="67">
        <v>6601</v>
      </c>
      <c r="D56" s="67">
        <v>3656</v>
      </c>
      <c r="E56" s="67">
        <v>2488</v>
      </c>
      <c r="F56" s="67">
        <v>6369</v>
      </c>
      <c r="G56" s="67">
        <v>7774</v>
      </c>
      <c r="H56" s="23"/>
      <c r="I56" s="23"/>
      <c r="J56" s="23"/>
      <c r="K56" s="23"/>
    </row>
    <row r="57" spans="2:11" x14ac:dyDescent="0.3">
      <c r="B57" s="27" t="s">
        <v>57</v>
      </c>
      <c r="C57" s="67">
        <v>277</v>
      </c>
      <c r="D57" s="67">
        <v>161</v>
      </c>
      <c r="E57" s="67">
        <v>259</v>
      </c>
      <c r="F57" s="67">
        <v>425</v>
      </c>
      <c r="G57" s="67">
        <v>835</v>
      </c>
      <c r="H57" s="70">
        <f>'Income Statement'!H7</f>
        <v>1149.21</v>
      </c>
      <c r="I57" s="70">
        <f>'Income Statement'!I7</f>
        <v>1298.6073000000001</v>
      </c>
      <c r="J57" s="70">
        <f>'Income Statement'!J7</f>
        <v>1467.4262490000001</v>
      </c>
      <c r="K57" s="70">
        <f>'Income Statement'!K7</f>
        <v>1658.19166137</v>
      </c>
    </row>
    <row r="58" spans="2:11" x14ac:dyDescent="0.3">
      <c r="B58" s="27" t="s">
        <v>76</v>
      </c>
      <c r="C58" s="67">
        <v>0</v>
      </c>
      <c r="D58" s="67">
        <v>-1</v>
      </c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</row>
    <row r="59" spans="2:11" x14ac:dyDescent="0.3">
      <c r="B59" s="27" t="s">
        <v>58</v>
      </c>
      <c r="C59" s="67">
        <v>1</v>
      </c>
      <c r="D59" s="67">
        <v>1</v>
      </c>
      <c r="E59" s="67">
        <v>2</v>
      </c>
      <c r="F59" s="67">
        <v>3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</row>
    <row r="60" spans="2:11" ht="28" x14ac:dyDescent="0.3">
      <c r="B60" s="28" t="s">
        <v>59</v>
      </c>
      <c r="C60" s="71">
        <f>SUM(C42:C59)</f>
        <v>-1528</v>
      </c>
      <c r="D60" s="71">
        <f t="shared" ref="D60:K60" si="4">SUM(D42:D59)</f>
        <v>-1728</v>
      </c>
      <c r="E60" s="71">
        <f t="shared" si="4"/>
        <v>-1494</v>
      </c>
      <c r="F60" s="71">
        <f t="shared" si="4"/>
        <v>-5324</v>
      </c>
      <c r="G60" s="71">
        <f t="shared" si="4"/>
        <v>6473</v>
      </c>
      <c r="H60" s="71">
        <f t="shared" si="4"/>
        <v>-188.95519999999988</v>
      </c>
      <c r="I60" s="71">
        <f t="shared" si="4"/>
        <v>-133.22946399999978</v>
      </c>
      <c r="J60" s="71">
        <f t="shared" si="4"/>
        <v>-78.957456119999961</v>
      </c>
      <c r="K60" s="71">
        <f t="shared" si="4"/>
        <v>-11.902740159599944</v>
      </c>
    </row>
    <row r="61" spans="2:11" x14ac:dyDescent="0.3">
      <c r="B61" s="27"/>
      <c r="C61" s="23"/>
      <c r="D61" s="23"/>
      <c r="E61" s="23"/>
      <c r="F61" s="23"/>
      <c r="G61" s="23"/>
      <c r="H61" s="23"/>
      <c r="I61" s="23"/>
      <c r="J61" s="23"/>
      <c r="K61" s="23"/>
    </row>
    <row r="62" spans="2:11" x14ac:dyDescent="0.3">
      <c r="B62" s="28" t="s">
        <v>60</v>
      </c>
      <c r="C62" s="23"/>
      <c r="D62" s="23"/>
      <c r="E62" s="23"/>
      <c r="F62" s="23"/>
      <c r="G62" s="23"/>
      <c r="H62" s="23"/>
      <c r="I62" s="23"/>
      <c r="J62" s="23"/>
      <c r="K62" s="23"/>
    </row>
    <row r="63" spans="2:11" x14ac:dyDescent="0.3">
      <c r="B63" s="27" t="s">
        <v>61</v>
      </c>
      <c r="C63" s="67">
        <v>-8811</v>
      </c>
      <c r="D63" s="67">
        <v>-7526</v>
      </c>
      <c r="E63" s="67">
        <v>-8474</v>
      </c>
      <c r="F63" s="67">
        <v>-9416</v>
      </c>
      <c r="G63" s="67">
        <v>-12473</v>
      </c>
      <c r="H63" s="70">
        <f>-(Assumptions!H30*235)</f>
        <v>-9400</v>
      </c>
      <c r="I63" s="70">
        <f>-(Assumptions!I30*235)</f>
        <v>-9400</v>
      </c>
      <c r="J63" s="70">
        <f>-(Assumptions!J30*235)</f>
        <v>-9400</v>
      </c>
      <c r="K63" s="70">
        <f>-(Assumptions!K30*235)</f>
        <v>-9400</v>
      </c>
    </row>
    <row r="64" spans="2:11" x14ac:dyDescent="0.3">
      <c r="B64" s="27" t="s">
        <v>62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</row>
    <row r="65" spans="2:11" x14ac:dyDescent="0.3">
      <c r="B65" s="27" t="s">
        <v>63</v>
      </c>
      <c r="C65" s="67">
        <v>188</v>
      </c>
      <c r="D65" s="67">
        <v>55</v>
      </c>
      <c r="E65" s="67">
        <v>286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</row>
    <row r="66" spans="2:11" ht="28" x14ac:dyDescent="0.3">
      <c r="B66" s="27" t="s">
        <v>64</v>
      </c>
      <c r="C66" s="67">
        <v>-188</v>
      </c>
      <c r="D66" s="67">
        <v>-55</v>
      </c>
      <c r="E66" s="67">
        <v>-201</v>
      </c>
      <c r="F66" s="67">
        <v>-85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</row>
    <row r="67" spans="2:11" x14ac:dyDescent="0.3">
      <c r="B67" s="27" t="s">
        <v>83</v>
      </c>
      <c r="C67" s="67">
        <v>0</v>
      </c>
      <c r="D67" s="67">
        <v>0</v>
      </c>
      <c r="E67" s="67">
        <v>-7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</row>
    <row r="68" spans="2:11" x14ac:dyDescent="0.3">
      <c r="B68" s="27" t="s">
        <v>65</v>
      </c>
      <c r="C68" s="67">
        <v>-406</v>
      </c>
      <c r="D68" s="67">
        <v>-407</v>
      </c>
      <c r="E68" s="67">
        <v>-467</v>
      </c>
      <c r="F68" s="67">
        <v>-423</v>
      </c>
      <c r="G68" s="67">
        <v>-498</v>
      </c>
      <c r="H68" s="67">
        <v>0</v>
      </c>
      <c r="I68" s="67">
        <v>0</v>
      </c>
      <c r="J68" s="67">
        <v>0</v>
      </c>
      <c r="K68" s="67">
        <v>0</v>
      </c>
    </row>
    <row r="69" spans="2:11" x14ac:dyDescent="0.3">
      <c r="B69" s="27" t="s">
        <v>66</v>
      </c>
      <c r="C69" s="67">
        <v>-86</v>
      </c>
      <c r="D69" s="67">
        <v>-80</v>
      </c>
      <c r="E69" s="67">
        <v>-84</v>
      </c>
      <c r="F69" s="67">
        <v>-106</v>
      </c>
      <c r="G69" s="67">
        <v>-127</v>
      </c>
      <c r="H69" s="67">
        <v>0</v>
      </c>
      <c r="I69" s="67">
        <v>0</v>
      </c>
      <c r="J69" s="67">
        <v>0</v>
      </c>
      <c r="K69" s="67">
        <v>0</v>
      </c>
    </row>
    <row r="70" spans="2:11" x14ac:dyDescent="0.3">
      <c r="B70" s="27" t="s">
        <v>84</v>
      </c>
      <c r="C70" s="67">
        <v>0</v>
      </c>
      <c r="D70" s="67">
        <v>0</v>
      </c>
      <c r="E70" s="67">
        <v>-2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</row>
    <row r="71" spans="2:11" x14ac:dyDescent="0.3">
      <c r="B71" s="27" t="s">
        <v>67</v>
      </c>
      <c r="C71" s="67">
        <v>-6</v>
      </c>
      <c r="D71" s="67">
        <v>-2</v>
      </c>
      <c r="E71" s="67">
        <v>-4</v>
      </c>
      <c r="F71" s="67">
        <v>-4</v>
      </c>
      <c r="G71" s="67">
        <v>-3</v>
      </c>
      <c r="H71" s="70">
        <f>-('Income Statement'!H15)</f>
        <v>-414.75</v>
      </c>
      <c r="I71" s="70">
        <f>-('Income Statement'!I15)</f>
        <v>-435.48750000000001</v>
      </c>
      <c r="J71" s="70">
        <f>-('Income Statement'!J15)</f>
        <v>-457.26187500000003</v>
      </c>
      <c r="K71" s="70">
        <f>-('Income Statement'!K15)</f>
        <v>-480.12496875000005</v>
      </c>
    </row>
    <row r="72" spans="2:11" ht="28" x14ac:dyDescent="0.3">
      <c r="B72" s="27" t="s">
        <v>68</v>
      </c>
      <c r="C72" s="67">
        <v>0</v>
      </c>
      <c r="D72" s="67">
        <v>0</v>
      </c>
      <c r="E72" s="67">
        <v>0</v>
      </c>
      <c r="F72" s="67">
        <v>0</v>
      </c>
      <c r="G72" s="67">
        <v>0</v>
      </c>
      <c r="H72" s="67">
        <v>0</v>
      </c>
      <c r="I72" s="67">
        <v>0</v>
      </c>
      <c r="J72" s="67">
        <v>0</v>
      </c>
      <c r="K72" s="67">
        <v>0</v>
      </c>
    </row>
    <row r="73" spans="2:11" x14ac:dyDescent="0.3">
      <c r="B73" s="28" t="s">
        <v>69</v>
      </c>
      <c r="C73" s="71">
        <f>SUM(C63:C72)</f>
        <v>-9309</v>
      </c>
      <c r="D73" s="71">
        <f t="shared" ref="D73:K73" si="5">SUM(D63:D72)</f>
        <v>-8015</v>
      </c>
      <c r="E73" s="71">
        <f t="shared" si="5"/>
        <v>-8953</v>
      </c>
      <c r="F73" s="71">
        <f t="shared" si="5"/>
        <v>-10034</v>
      </c>
      <c r="G73" s="71">
        <f t="shared" si="5"/>
        <v>-13101</v>
      </c>
      <c r="H73" s="71">
        <f t="shared" si="5"/>
        <v>-9814.75</v>
      </c>
      <c r="I73" s="71">
        <f t="shared" si="5"/>
        <v>-9835.4874999999993</v>
      </c>
      <c r="J73" s="71">
        <f t="shared" si="5"/>
        <v>-9857.2618750000001</v>
      </c>
      <c r="K73" s="71">
        <f t="shared" si="5"/>
        <v>-9880.1249687500003</v>
      </c>
    </row>
    <row r="74" spans="2:11" ht="28" x14ac:dyDescent="0.3">
      <c r="B74" s="28" t="s">
        <v>70</v>
      </c>
      <c r="C74" s="71">
        <f>C39+C60+C73</f>
        <v>-1674</v>
      </c>
      <c r="D74" s="71">
        <f t="shared" ref="D74:K74" si="6">D39+D60+D73</f>
        <v>-695</v>
      </c>
      <c r="E74" s="71">
        <f t="shared" si="6"/>
        <v>-455</v>
      </c>
      <c r="F74" s="71">
        <f t="shared" si="6"/>
        <v>111</v>
      </c>
      <c r="G74" s="71">
        <f t="shared" si="6"/>
        <v>5258</v>
      </c>
      <c r="H74" s="71">
        <f t="shared" si="6"/>
        <v>2717.4200304840342</v>
      </c>
      <c r="I74" s="71">
        <f t="shared" si="6"/>
        <v>3508.1486765919835</v>
      </c>
      <c r="J74" s="71">
        <f t="shared" si="6"/>
        <v>4632.6557340508389</v>
      </c>
      <c r="K74" s="71">
        <f t="shared" si="6"/>
        <v>5819.7332905529747</v>
      </c>
    </row>
    <row r="75" spans="2:11" ht="28" x14ac:dyDescent="0.3">
      <c r="B75" s="27" t="s">
        <v>71</v>
      </c>
      <c r="C75" s="67">
        <v>3216</v>
      </c>
      <c r="D75" s="67">
        <v>1842</v>
      </c>
      <c r="E75" s="71">
        <f>D77</f>
        <v>1147</v>
      </c>
      <c r="F75" s="71">
        <f>E77</f>
        <v>702</v>
      </c>
      <c r="G75" s="71">
        <f>F77</f>
        <v>813</v>
      </c>
      <c r="H75" s="70">
        <f>'Balance Sheet'!G27</f>
        <v>6071</v>
      </c>
      <c r="I75" s="70">
        <f>'Balance Sheet'!H27</f>
        <v>8788.4200304840342</v>
      </c>
      <c r="J75" s="70">
        <f>'Balance Sheet'!I27</f>
        <v>12296.568707076018</v>
      </c>
      <c r="K75" s="70">
        <f>'Balance Sheet'!J27</f>
        <v>16929.224441126855</v>
      </c>
    </row>
    <row r="76" spans="2:11" x14ac:dyDescent="0.3">
      <c r="B76" s="27" t="s">
        <v>175</v>
      </c>
      <c r="C76" s="67">
        <v>300</v>
      </c>
      <c r="D76" s="67">
        <v>0</v>
      </c>
      <c r="E76" s="67">
        <v>10</v>
      </c>
      <c r="F76" s="67">
        <v>0</v>
      </c>
      <c r="G76" s="67">
        <v>0</v>
      </c>
      <c r="H76" s="67">
        <v>0</v>
      </c>
      <c r="I76" s="67">
        <v>0</v>
      </c>
      <c r="J76" s="67">
        <v>0</v>
      </c>
      <c r="K76" s="67">
        <v>0</v>
      </c>
    </row>
    <row r="77" spans="2:11" ht="28" x14ac:dyDescent="0.3">
      <c r="B77" s="28" t="s">
        <v>72</v>
      </c>
      <c r="C77" s="71">
        <f>SUM(C74:C76)</f>
        <v>1842</v>
      </c>
      <c r="D77" s="71">
        <f t="shared" ref="D77:K77" si="7">SUM(D74:D76)</f>
        <v>1147</v>
      </c>
      <c r="E77" s="71">
        <f t="shared" si="7"/>
        <v>702</v>
      </c>
      <c r="F77" s="71">
        <f t="shared" si="7"/>
        <v>813</v>
      </c>
      <c r="G77" s="71">
        <f t="shared" si="7"/>
        <v>6071</v>
      </c>
      <c r="H77" s="71">
        <f t="shared" si="7"/>
        <v>8788.4200304840342</v>
      </c>
      <c r="I77" s="71">
        <f t="shared" si="7"/>
        <v>12296.568707076018</v>
      </c>
      <c r="J77" s="71">
        <f t="shared" si="7"/>
        <v>16929.224441126855</v>
      </c>
      <c r="K77" s="71">
        <f t="shared" si="7"/>
        <v>22748.957731679831</v>
      </c>
    </row>
  </sheetData>
  <mergeCells count="3">
    <mergeCell ref="C3:G3"/>
    <mergeCell ref="H3:K3"/>
    <mergeCell ref="B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AA64-50B7-4DCC-B8B8-58E8FC61D573}">
  <sheetPr codeName="Sheet6"/>
  <dimension ref="B1:L73"/>
  <sheetViews>
    <sheetView workbookViewId="0"/>
  </sheetViews>
  <sheetFormatPr defaultRowHeight="14" x14ac:dyDescent="0.3"/>
  <cols>
    <col min="1" max="1" width="2.6328125" style="1" customWidth="1"/>
    <col min="2" max="2" width="25.6328125" style="1" customWidth="1"/>
    <col min="3" max="3" width="12.26953125" style="1" customWidth="1"/>
    <col min="4" max="9" width="12.26953125" style="1" bestFit="1" customWidth="1"/>
    <col min="10" max="12" width="13" style="1" bestFit="1" customWidth="1"/>
    <col min="13" max="16384" width="8.7265625" style="1"/>
  </cols>
  <sheetData>
    <row r="1" spans="2:12" ht="20" customHeight="1" x14ac:dyDescent="0.4">
      <c r="B1" s="80" t="s">
        <v>188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12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ht="14.5" customHeight="1" x14ac:dyDescent="0.3">
      <c r="B3" s="9"/>
      <c r="C3" s="9"/>
      <c r="D3" s="38" t="s">
        <v>20</v>
      </c>
      <c r="E3" s="38"/>
      <c r="F3" s="38"/>
      <c r="G3" s="38"/>
      <c r="H3" s="38"/>
      <c r="I3" s="38" t="s">
        <v>21</v>
      </c>
      <c r="J3" s="38"/>
      <c r="K3" s="38"/>
      <c r="L3" s="38"/>
    </row>
    <row r="4" spans="2:12" x14ac:dyDescent="0.3">
      <c r="B4" s="26"/>
      <c r="C4" s="26"/>
      <c r="D4" s="66">
        <v>2021</v>
      </c>
      <c r="E4" s="69">
        <f>D4+1</f>
        <v>2022</v>
      </c>
      <c r="F4" s="69">
        <f t="shared" ref="F4:L4" si="0">E4+1</f>
        <v>2023</v>
      </c>
      <c r="G4" s="69">
        <f t="shared" si="0"/>
        <v>2024</v>
      </c>
      <c r="H4" s="69">
        <f t="shared" si="0"/>
        <v>2025</v>
      </c>
      <c r="I4" s="69">
        <f t="shared" si="0"/>
        <v>2026</v>
      </c>
      <c r="J4" s="69">
        <f t="shared" si="0"/>
        <v>2027</v>
      </c>
      <c r="K4" s="69">
        <f t="shared" si="0"/>
        <v>2028</v>
      </c>
      <c r="L4" s="69">
        <f t="shared" si="0"/>
        <v>2029</v>
      </c>
    </row>
    <row r="5" spans="2:12" ht="42" x14ac:dyDescent="0.3">
      <c r="B5" s="16" t="s">
        <v>167</v>
      </c>
      <c r="C5" s="16" t="s">
        <v>205</v>
      </c>
      <c r="D5" s="87">
        <f>'Income Statement'!N15</f>
        <v>10845</v>
      </c>
      <c r="E5" s="87">
        <f>'Income Statement'!O15</f>
        <v>11918</v>
      </c>
      <c r="F5" s="87">
        <f>'Income Statement'!P15</f>
        <v>13409</v>
      </c>
      <c r="G5" s="87">
        <f>'Income Statement'!Q15</f>
        <v>13920</v>
      </c>
      <c r="H5" s="87">
        <f>'Income Statement'!R15</f>
        <v>14110</v>
      </c>
      <c r="I5" s="87">
        <f>'Income Statement'!S15</f>
        <v>15881.171768017448</v>
      </c>
      <c r="J5" s="87">
        <f>'Income Statement'!T15</f>
        <v>17070.101391778662</v>
      </c>
      <c r="K5" s="87">
        <f>'Income Statement'!U15</f>
        <v>18513.704493120968</v>
      </c>
      <c r="L5" s="87">
        <f>'Income Statement'!V15</f>
        <v>20081.890021270621</v>
      </c>
    </row>
    <row r="6" spans="2:12" ht="28" x14ac:dyDescent="0.3">
      <c r="B6" s="16" t="s">
        <v>176</v>
      </c>
      <c r="C6" s="16" t="s">
        <v>182</v>
      </c>
      <c r="D6" s="62">
        <f>Assumptions!C15</f>
        <v>0.24570997548557422</v>
      </c>
      <c r="E6" s="62">
        <f>Assumptions!D15</f>
        <v>0.25155802593902643</v>
      </c>
      <c r="F6" s="62">
        <f>Assumptions!E15</f>
        <v>0.23986511802173099</v>
      </c>
      <c r="G6" s="62">
        <f>Assumptions!F15</f>
        <v>0.26166882091052707</v>
      </c>
      <c r="H6" s="62">
        <f>Assumptions!G15</f>
        <v>0.25972944849115503</v>
      </c>
      <c r="I6" s="62">
        <f>Assumptions!H15</f>
        <v>0.26069913470084105</v>
      </c>
      <c r="J6" s="62">
        <f>Assumptions!I15</f>
        <v>0.26069913470084105</v>
      </c>
      <c r="K6" s="62">
        <f>Assumptions!J15</f>
        <v>0.26069913470084105</v>
      </c>
      <c r="L6" s="62">
        <f>Assumptions!K15</f>
        <v>0.26069913470084105</v>
      </c>
    </row>
    <row r="7" spans="2:12" ht="28" x14ac:dyDescent="0.3">
      <c r="B7" s="16" t="s">
        <v>177</v>
      </c>
      <c r="C7" s="16" t="s">
        <v>183</v>
      </c>
      <c r="D7" s="88">
        <f>D5*(1-D6)</f>
        <v>8180.2753158589467</v>
      </c>
      <c r="E7" s="88">
        <f t="shared" ref="E7:L7" si="1">E5*(1-E6)</f>
        <v>8919.9314468586836</v>
      </c>
      <c r="F7" s="88">
        <f t="shared" si="1"/>
        <v>10192.648632446608</v>
      </c>
      <c r="G7" s="88">
        <f t="shared" si="1"/>
        <v>10277.570012925462</v>
      </c>
      <c r="H7" s="88">
        <f t="shared" si="1"/>
        <v>10445.217481789803</v>
      </c>
      <c r="I7" s="88">
        <f t="shared" si="1"/>
        <v>11740.964030059873</v>
      </c>
      <c r="J7" s="88">
        <f t="shared" si="1"/>
        <v>12619.940729686343</v>
      </c>
      <c r="K7" s="88">
        <f t="shared" si="1"/>
        <v>13687.197751657259</v>
      </c>
      <c r="L7" s="88">
        <f t="shared" si="1"/>
        <v>14846.558669567916</v>
      </c>
    </row>
    <row r="8" spans="2:12" ht="42" x14ac:dyDescent="0.3">
      <c r="B8" s="16" t="s">
        <v>178</v>
      </c>
      <c r="C8" s="16" t="s">
        <v>184</v>
      </c>
      <c r="D8" s="87">
        <f>'Income Statement'!C16</f>
        <v>1074</v>
      </c>
      <c r="E8" s="87">
        <f>'Income Statement'!D16</f>
        <v>1091</v>
      </c>
      <c r="F8" s="87">
        <f>'Income Statement'!E16</f>
        <v>1137</v>
      </c>
      <c r="G8" s="87">
        <f>'Income Statement'!F16</f>
        <v>1216</v>
      </c>
      <c r="H8" s="87">
        <f>'Income Statement'!G16</f>
        <v>1355</v>
      </c>
      <c r="I8" s="87">
        <f>'Income Statement'!H16</f>
        <v>1385.2812268759528</v>
      </c>
      <c r="J8" s="87">
        <f>'Income Statement'!I16</f>
        <v>1482.2509127572696</v>
      </c>
      <c r="K8" s="87">
        <f>'Income Statement'!J16</f>
        <v>1600.8309857778511</v>
      </c>
      <c r="L8" s="87">
        <f>'Income Statement'!K16</f>
        <v>1728.8974646400791</v>
      </c>
    </row>
    <row r="9" spans="2:12" ht="112" x14ac:dyDescent="0.3">
      <c r="B9" s="16" t="s">
        <v>179</v>
      </c>
      <c r="C9" s="16" t="s">
        <v>185</v>
      </c>
      <c r="D9" s="87">
        <f>'Cashflow Statement'!C31+'Cashflow Statement'!C32+'Cashflow Statement'!C34</f>
        <v>-125</v>
      </c>
      <c r="E9" s="87">
        <f>'Cashflow Statement'!D31+'Cashflow Statement'!D32+'Cashflow Statement'!D34</f>
        <v>-1089</v>
      </c>
      <c r="F9" s="87">
        <f>'Cashflow Statement'!E31+'Cashflow Statement'!E32+'Cashflow Statement'!E34</f>
        <v>-828</v>
      </c>
      <c r="G9" s="87">
        <f>'Cashflow Statement'!F31+'Cashflow Statement'!F32+'Cashflow Statement'!F34</f>
        <v>1215</v>
      </c>
      <c r="H9" s="87">
        <f>'Cashflow Statement'!G31+'Cashflow Statement'!G32+'Cashflow Statement'!G34</f>
        <v>-417</v>
      </c>
      <c r="I9" s="87">
        <f>'Cashflow Statement'!H31+'Cashflow Statement'!H32+'Cashflow Statement'!H34</f>
        <v>330.33997354820576</v>
      </c>
      <c r="J9" s="87">
        <f>'Cashflow Statement'!I31+'Cashflow Statement'!I32+'Cashflow Statement'!I34</f>
        <v>238.79379814837421</v>
      </c>
      <c r="K9" s="87">
        <f>'Cashflow Statement'!J31+'Cashflow Statement'!J32+'Cashflow Statement'!J34</f>
        <v>292.0107017357268</v>
      </c>
      <c r="L9" s="87">
        <f>'Cashflow Statement'!K31+'Cashflow Statement'!K32+'Cashflow Statement'!K34</f>
        <v>315.37155787458414</v>
      </c>
    </row>
    <row r="10" spans="2:12" ht="28" x14ac:dyDescent="0.3">
      <c r="B10" s="16" t="s">
        <v>180</v>
      </c>
      <c r="C10" s="16" t="s">
        <v>186</v>
      </c>
      <c r="D10" s="87">
        <f>'Cashflow Statement'!C42</f>
        <v>-741</v>
      </c>
      <c r="E10" s="87">
        <f>'Cashflow Statement'!D42</f>
        <v>-1225</v>
      </c>
      <c r="F10" s="87">
        <f>'Cashflow Statement'!E42</f>
        <v>-1174</v>
      </c>
      <c r="G10" s="87">
        <f>'Cashflow Statement'!F42</f>
        <v>-1468</v>
      </c>
      <c r="H10" s="87">
        <f>'Cashflow Statement'!G42</f>
        <v>-1254</v>
      </c>
      <c r="I10" s="87">
        <f>'Cashflow Statement'!H42</f>
        <v>-1338.1651999999999</v>
      </c>
      <c r="J10" s="87">
        <f>'Cashflow Statement'!I42</f>
        <v>-1431.8367639999999</v>
      </c>
      <c r="K10" s="87">
        <f>'Cashflow Statement'!J42</f>
        <v>-1546.3837051200001</v>
      </c>
      <c r="L10" s="87">
        <f>'Cashflow Statement'!K42</f>
        <v>-1670.0944015296</v>
      </c>
    </row>
    <row r="11" spans="2:12" ht="28" x14ac:dyDescent="0.3">
      <c r="B11" s="16" t="s">
        <v>181</v>
      </c>
      <c r="C11" s="16" t="s">
        <v>187</v>
      </c>
      <c r="D11" s="88">
        <f>(D7+D8+D9+D10)</f>
        <v>8388.2753158589476</v>
      </c>
      <c r="E11" s="88">
        <f t="shared" ref="E11:L11" si="2">(E7+E8+E9+E10)</f>
        <v>7696.9314468586836</v>
      </c>
      <c r="F11" s="88">
        <f t="shared" si="2"/>
        <v>9327.6486324466077</v>
      </c>
      <c r="G11" s="88">
        <f t="shared" si="2"/>
        <v>11240.570012925462</v>
      </c>
      <c r="H11" s="88">
        <f t="shared" si="2"/>
        <v>10129.217481789803</v>
      </c>
      <c r="I11" s="88">
        <f t="shared" si="2"/>
        <v>12118.420030484032</v>
      </c>
      <c r="J11" s="88">
        <f t="shared" si="2"/>
        <v>12909.148676591987</v>
      </c>
      <c r="K11" s="88">
        <f t="shared" si="2"/>
        <v>14033.655734050835</v>
      </c>
      <c r="L11" s="88">
        <f t="shared" si="2"/>
        <v>15220.733290552977</v>
      </c>
    </row>
    <row r="12" spans="2:12" x14ac:dyDescent="0.3">
      <c r="B12" s="16" t="s">
        <v>207</v>
      </c>
      <c r="C12" s="16"/>
      <c r="D12" s="15"/>
      <c r="E12" s="15"/>
      <c r="F12" s="15"/>
      <c r="G12" s="15"/>
      <c r="H12" s="15"/>
      <c r="I12" s="58">
        <f>1/(1+$C$28)^1</f>
        <v>0.90661839336926342</v>
      </c>
      <c r="J12" s="58">
        <f>1/(1+$C$28)^2</f>
        <v>0.82195691119546443</v>
      </c>
      <c r="K12" s="58">
        <f>1/(1+$C$28)^3</f>
        <v>0.74520125424679429</v>
      </c>
      <c r="L12" s="58">
        <f>1/(1+$C$28)^4</f>
        <v>0.67561316386198855</v>
      </c>
    </row>
    <row r="13" spans="2:12" x14ac:dyDescent="0.3">
      <c r="B13" s="16" t="s">
        <v>208</v>
      </c>
      <c r="C13" s="16"/>
      <c r="D13" s="15"/>
      <c r="E13" s="15"/>
      <c r="F13" s="15"/>
      <c r="G13" s="15"/>
      <c r="H13" s="15"/>
      <c r="I13" s="88">
        <f>I11*I12</f>
        <v>10986.782498211334</v>
      </c>
      <c r="J13" s="88">
        <f t="shared" ref="J13:L13" si="3">J11*J12</f>
        <v>10610.763972374567</v>
      </c>
      <c r="K13" s="88">
        <f t="shared" si="3"/>
        <v>10457.897854682398</v>
      </c>
      <c r="L13" s="88">
        <f t="shared" si="3"/>
        <v>10283.327774729993</v>
      </c>
    </row>
    <row r="14" spans="2:12" ht="20" customHeight="1" x14ac:dyDescent="0.3">
      <c r="B14" s="46" t="s">
        <v>189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spans="2:12" ht="42" x14ac:dyDescent="0.3">
      <c r="B15" s="14" t="s">
        <v>193</v>
      </c>
      <c r="C15" s="63">
        <f>C16+(C17*C18)</f>
        <v>0.10300000000000001</v>
      </c>
      <c r="D15" s="9"/>
      <c r="E15" s="9"/>
      <c r="F15" s="9"/>
      <c r="G15" s="9"/>
      <c r="H15" s="9"/>
      <c r="I15" s="9"/>
      <c r="J15" s="9"/>
      <c r="K15" s="9"/>
      <c r="L15" s="9"/>
    </row>
    <row r="16" spans="2:12" x14ac:dyDescent="0.3">
      <c r="B16" s="16" t="s">
        <v>190</v>
      </c>
      <c r="C16" s="51">
        <v>6.8000000000000005E-2</v>
      </c>
      <c r="D16" s="9"/>
      <c r="E16" s="9"/>
      <c r="F16" s="9"/>
      <c r="G16" s="9"/>
      <c r="H16" s="9"/>
      <c r="I16" s="9"/>
      <c r="J16" s="9"/>
      <c r="K16" s="9"/>
      <c r="L16" s="9"/>
    </row>
    <row r="17" spans="2:12" x14ac:dyDescent="0.3">
      <c r="B17" s="16" t="s">
        <v>191</v>
      </c>
      <c r="C17" s="53">
        <v>0.5</v>
      </c>
      <c r="D17" s="9"/>
      <c r="E17" s="9"/>
      <c r="F17" s="9"/>
      <c r="G17" s="9"/>
      <c r="H17" s="9"/>
      <c r="I17" s="9"/>
      <c r="J17" s="9"/>
      <c r="K17" s="9"/>
      <c r="L17" s="9"/>
    </row>
    <row r="18" spans="2:12" x14ac:dyDescent="0.3">
      <c r="B18" s="16" t="s">
        <v>192</v>
      </c>
      <c r="C18" s="51">
        <v>7.0000000000000007E-2</v>
      </c>
      <c r="D18" s="9"/>
      <c r="E18" s="9"/>
      <c r="F18" s="9"/>
      <c r="G18" s="9"/>
      <c r="H18" s="9"/>
      <c r="I18" s="9"/>
      <c r="J18" s="9"/>
      <c r="K18" s="9"/>
      <c r="L18" s="9"/>
    </row>
    <row r="19" spans="2:12" x14ac:dyDescent="0.3">
      <c r="B19" s="30"/>
      <c r="C19" s="29"/>
      <c r="D19" s="9"/>
      <c r="E19" s="9"/>
      <c r="F19" s="9"/>
      <c r="G19" s="9"/>
      <c r="H19" s="9"/>
      <c r="I19" s="9"/>
      <c r="J19" s="9"/>
      <c r="K19" s="9"/>
      <c r="L19" s="9"/>
    </row>
    <row r="20" spans="2:12" x14ac:dyDescent="0.3">
      <c r="B20" s="14" t="s">
        <v>194</v>
      </c>
      <c r="C20" s="15"/>
      <c r="D20" s="9"/>
      <c r="E20" s="9"/>
      <c r="F20" s="9"/>
      <c r="G20" s="9"/>
      <c r="H20" s="9"/>
      <c r="I20" s="9"/>
      <c r="J20" s="9"/>
      <c r="K20" s="9"/>
      <c r="L20" s="9"/>
    </row>
    <row r="21" spans="2:12" x14ac:dyDescent="0.3">
      <c r="B21" s="16" t="s">
        <v>195</v>
      </c>
      <c r="C21" s="51">
        <v>7.4999999999999997E-2</v>
      </c>
      <c r="D21" s="9"/>
      <c r="E21" s="9"/>
      <c r="F21" s="9"/>
      <c r="G21" s="9"/>
      <c r="H21" s="9"/>
      <c r="I21" s="9"/>
      <c r="J21" s="9"/>
      <c r="K21" s="9"/>
      <c r="L21" s="9"/>
    </row>
    <row r="22" spans="2:12" ht="28" x14ac:dyDescent="0.3">
      <c r="B22" s="16" t="s">
        <v>196</v>
      </c>
      <c r="C22" s="63">
        <f>C21*(1-26%)</f>
        <v>5.5500000000000001E-2</v>
      </c>
      <c r="D22" s="9"/>
      <c r="E22" s="9"/>
      <c r="F22" s="9"/>
      <c r="G22" s="9"/>
      <c r="H22" s="9"/>
      <c r="I22" s="9"/>
      <c r="J22" s="9"/>
      <c r="K22" s="9"/>
      <c r="L22" s="9"/>
    </row>
    <row r="23" spans="2:12" x14ac:dyDescent="0.3">
      <c r="B23" s="16" t="s">
        <v>197</v>
      </c>
      <c r="C23" s="81">
        <v>490000</v>
      </c>
      <c r="D23" s="9"/>
      <c r="E23" s="9"/>
      <c r="F23" s="9"/>
      <c r="G23" s="9"/>
      <c r="H23" s="9"/>
      <c r="I23" s="9"/>
      <c r="J23" s="9"/>
      <c r="K23" s="9"/>
      <c r="L23" s="9"/>
    </row>
    <row r="24" spans="2:12" x14ac:dyDescent="0.3">
      <c r="B24" s="16" t="s">
        <v>198</v>
      </c>
      <c r="C24" s="82">
        <v>1</v>
      </c>
      <c r="D24" s="9"/>
      <c r="E24" s="9"/>
      <c r="F24" s="9"/>
      <c r="G24" s="9"/>
      <c r="H24" s="9"/>
      <c r="I24" s="9"/>
      <c r="J24" s="9"/>
      <c r="K24" s="9"/>
      <c r="L24" s="9"/>
    </row>
    <row r="25" spans="2:12" ht="28" x14ac:dyDescent="0.3">
      <c r="B25" s="16" t="s">
        <v>199</v>
      </c>
      <c r="C25" s="89">
        <f>C23/(C23+C24)</f>
        <v>0.9999979591878384</v>
      </c>
      <c r="D25" s="9"/>
      <c r="E25" s="9"/>
      <c r="F25" s="9"/>
      <c r="G25" s="9"/>
      <c r="H25" s="9"/>
      <c r="I25" s="9"/>
      <c r="J25" s="9"/>
      <c r="K25" s="9"/>
      <c r="L25" s="9"/>
    </row>
    <row r="26" spans="2:12" ht="28" x14ac:dyDescent="0.3">
      <c r="B26" s="16" t="s">
        <v>200</v>
      </c>
      <c r="C26" s="89">
        <f>C24/(C23+C24)</f>
        <v>2.0408121616078334E-6</v>
      </c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3">
      <c r="B27" s="30"/>
      <c r="C27" s="29"/>
      <c r="D27" s="9"/>
      <c r="E27" s="9"/>
      <c r="F27" s="9"/>
      <c r="G27" s="9"/>
      <c r="H27" s="9"/>
      <c r="I27" s="9"/>
      <c r="J27" s="9"/>
      <c r="K27" s="9"/>
      <c r="L27" s="9"/>
    </row>
    <row r="28" spans="2:12" ht="56" x14ac:dyDescent="0.3">
      <c r="B28" s="16" t="s">
        <v>201</v>
      </c>
      <c r="C28" s="63">
        <f>(C25*C15)+(C26*C22)</f>
        <v>0.10299990306142233</v>
      </c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3">
      <c r="B29" s="16" t="s">
        <v>206</v>
      </c>
      <c r="C29" s="83">
        <v>0.05</v>
      </c>
      <c r="D29" s="9"/>
      <c r="E29" s="9"/>
      <c r="F29" s="9"/>
      <c r="G29" s="9"/>
      <c r="H29" s="9"/>
      <c r="I29" s="9"/>
      <c r="J29" s="9"/>
      <c r="K29" s="9"/>
      <c r="L29" s="9"/>
    </row>
    <row r="30" spans="2:12" ht="42" x14ac:dyDescent="0.3">
      <c r="B30" s="16" t="s">
        <v>202</v>
      </c>
      <c r="C30" s="88">
        <f>(L11*(1+C29))/(C28-C29)</f>
        <v>301543.38087296369</v>
      </c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3">
      <c r="B31" s="16" t="s">
        <v>209</v>
      </c>
      <c r="C31" s="88">
        <f>C30/(1+C28)^4</f>
        <v>203726.67759322366</v>
      </c>
      <c r="D31" s="9"/>
      <c r="E31" s="9"/>
      <c r="F31" s="9"/>
      <c r="G31" s="9"/>
      <c r="H31" s="9"/>
      <c r="I31" s="9"/>
      <c r="J31" s="9"/>
      <c r="K31" s="9"/>
      <c r="L31" s="9"/>
    </row>
    <row r="32" spans="2:12" x14ac:dyDescent="0.3">
      <c r="B32" s="14" t="s">
        <v>203</v>
      </c>
      <c r="C32" s="88">
        <f>SUM(I13:L13)+C31</f>
        <v>246065.44969322195</v>
      </c>
      <c r="D32" s="9"/>
      <c r="E32" s="9"/>
      <c r="F32" s="9"/>
      <c r="G32" s="9"/>
      <c r="H32" s="9"/>
      <c r="I32" s="9"/>
      <c r="J32" s="9"/>
      <c r="K32" s="9"/>
      <c r="L32" s="9"/>
    </row>
    <row r="33" spans="2:12" ht="42" customHeight="1" x14ac:dyDescent="0.3">
      <c r="B33" s="47" t="s">
        <v>204</v>
      </c>
      <c r="C33" s="48"/>
      <c r="D33" s="9"/>
      <c r="E33" s="9"/>
      <c r="F33" s="9"/>
      <c r="G33" s="9"/>
      <c r="H33" s="9"/>
      <c r="I33" s="9"/>
      <c r="J33" s="9"/>
      <c r="K33" s="9"/>
      <c r="L33" s="9"/>
    </row>
    <row r="34" spans="2:12" x14ac:dyDescent="0.3">
      <c r="B34" s="16" t="s">
        <v>210</v>
      </c>
      <c r="C34" s="64">
        <f>'Balance Sheet'!G53</f>
        <v>1</v>
      </c>
      <c r="D34" s="9"/>
      <c r="E34" s="9"/>
      <c r="F34" s="9"/>
      <c r="G34" s="9"/>
      <c r="H34" s="9"/>
      <c r="I34" s="9"/>
      <c r="J34" s="9"/>
      <c r="K34" s="9"/>
      <c r="L34" s="9"/>
    </row>
    <row r="35" spans="2:12" ht="28" x14ac:dyDescent="0.3">
      <c r="B35" s="16" t="s">
        <v>211</v>
      </c>
      <c r="C35" s="90">
        <f>'Balance Sheet'!G27</f>
        <v>6071</v>
      </c>
      <c r="D35" s="9"/>
      <c r="E35" s="9"/>
      <c r="F35" s="9"/>
      <c r="G35" s="9"/>
      <c r="H35" s="9"/>
      <c r="I35" s="9"/>
      <c r="J35" s="9"/>
      <c r="K35" s="9"/>
      <c r="L35" s="9"/>
    </row>
    <row r="36" spans="2:12" x14ac:dyDescent="0.3">
      <c r="B36" s="16" t="s">
        <v>212</v>
      </c>
      <c r="C36" s="91">
        <f>C32-C34+C35</f>
        <v>252135.44969322195</v>
      </c>
      <c r="D36" s="9"/>
      <c r="E36" s="9"/>
      <c r="F36" s="9"/>
      <c r="G36" s="9"/>
      <c r="H36" s="9"/>
      <c r="I36" s="9"/>
      <c r="J36" s="9"/>
      <c r="K36" s="9"/>
      <c r="L36" s="9"/>
    </row>
    <row r="37" spans="2:12" x14ac:dyDescent="0.3">
      <c r="B37" s="16" t="s">
        <v>213</v>
      </c>
      <c r="C37" s="90">
        <f>'Balance Sheet'!G37</f>
        <v>235</v>
      </c>
      <c r="D37" s="9"/>
      <c r="E37" s="9"/>
      <c r="F37" s="9"/>
      <c r="G37" s="9"/>
      <c r="H37" s="9"/>
      <c r="I37" s="9"/>
      <c r="J37" s="9"/>
      <c r="K37" s="9"/>
      <c r="L37" s="9"/>
    </row>
    <row r="38" spans="2:12" x14ac:dyDescent="0.3">
      <c r="B38" s="16" t="s">
        <v>214</v>
      </c>
      <c r="C38" s="91">
        <f>(C36/C37)</f>
        <v>1072.9168072051998</v>
      </c>
      <c r="D38" s="9"/>
      <c r="E38" s="9"/>
      <c r="F38" s="9"/>
      <c r="G38" s="9"/>
      <c r="H38" s="9"/>
      <c r="I38" s="9"/>
      <c r="J38" s="9"/>
      <c r="K38" s="9"/>
      <c r="L38" s="9"/>
    </row>
    <row r="39" spans="2:12" x14ac:dyDescent="0.3">
      <c r="B39" s="16" t="s">
        <v>215</v>
      </c>
      <c r="C39" s="84">
        <v>2083.6</v>
      </c>
    </row>
    <row r="40" spans="2:12" ht="28" x14ac:dyDescent="0.3">
      <c r="B40" s="16" t="s">
        <v>216</v>
      </c>
      <c r="C40" s="59">
        <f>(C38/C39)-1</f>
        <v>-0.48506584411345754</v>
      </c>
    </row>
    <row r="41" spans="2:12" x14ac:dyDescent="0.3">
      <c r="B41" s="11"/>
    </row>
    <row r="42" spans="2:12" x14ac:dyDescent="0.3">
      <c r="D42" s="12"/>
      <c r="E42" s="12"/>
      <c r="F42" s="12"/>
      <c r="G42" s="12"/>
      <c r="H42" s="12"/>
    </row>
    <row r="43" spans="2:12" x14ac:dyDescent="0.3">
      <c r="B43" s="12"/>
    </row>
    <row r="44" spans="2:12" x14ac:dyDescent="0.3">
      <c r="B44" s="43" t="s">
        <v>217</v>
      </c>
      <c r="C44" s="43"/>
      <c r="D44" s="43"/>
    </row>
    <row r="45" spans="2:12" x14ac:dyDescent="0.3">
      <c r="B45" s="44" t="s">
        <v>218</v>
      </c>
      <c r="C45" s="44"/>
    </row>
    <row r="46" spans="2:12" x14ac:dyDescent="0.3">
      <c r="B46" s="92">
        <f>C38</f>
        <v>1072.9168072051998</v>
      </c>
      <c r="C46" s="85">
        <v>0.04</v>
      </c>
      <c r="D46" s="85">
        <v>4.4999999999999998E-2</v>
      </c>
      <c r="E46" s="85">
        <v>0.05</v>
      </c>
      <c r="F46" s="85">
        <v>5.5E-2</v>
      </c>
      <c r="G46" s="85">
        <v>0.06</v>
      </c>
      <c r="H46" s="85">
        <v>6.5000000000000002E-2</v>
      </c>
      <c r="I46" s="85">
        <v>7.0000000000000007E-2</v>
      </c>
    </row>
    <row r="47" spans="2:12" x14ac:dyDescent="0.3">
      <c r="B47" s="85">
        <v>8.5000000000000006E-2</v>
      </c>
      <c r="C47" s="93">
        <f t="dataTable" ref="C47:I53" dt2D="1" dtr="1" r1="C29" r2="C28"/>
        <v>1293.6235431513651</v>
      </c>
      <c r="D47" s="93">
        <v>1434.4797530476787</v>
      </c>
      <c r="E47" s="93">
        <v>1615.5805943429391</v>
      </c>
      <c r="F47" s="93">
        <v>1857.048382736619</v>
      </c>
      <c r="G47" s="93">
        <v>2195.1032864877716</v>
      </c>
      <c r="H47" s="93">
        <v>2702.1856421145008</v>
      </c>
      <c r="I47" s="93">
        <v>3547.3229014923827</v>
      </c>
    </row>
    <row r="48" spans="2:12" x14ac:dyDescent="0.3">
      <c r="B48" s="85">
        <v>0.09</v>
      </c>
      <c r="C48" s="93">
        <v>1165.7605185669258</v>
      </c>
      <c r="D48" s="93">
        <v>1276.9018783908546</v>
      </c>
      <c r="E48" s="93">
        <v>1415.8285781707661</v>
      </c>
      <c r="F48" s="93">
        <v>1594.4486207449374</v>
      </c>
      <c r="G48" s="93">
        <v>1832.6086775104998</v>
      </c>
      <c r="H48" s="93">
        <v>2166.0327569822866</v>
      </c>
      <c r="I48" s="93">
        <v>2666.1688761899677</v>
      </c>
    </row>
    <row r="49" spans="2:9" x14ac:dyDescent="0.3">
      <c r="B49" s="85">
        <v>9.5000000000000001E-2</v>
      </c>
      <c r="C49" s="93">
        <v>1061.160670686701</v>
      </c>
      <c r="D49" s="93">
        <v>1150.8545208324867</v>
      </c>
      <c r="E49" s="93">
        <v>1260.4803376773359</v>
      </c>
      <c r="F49" s="93">
        <v>1397.5126087333977</v>
      </c>
      <c r="G49" s="93">
        <v>1573.6969572340481</v>
      </c>
      <c r="H49" s="93">
        <v>1808.6094219015827</v>
      </c>
      <c r="I49" s="93">
        <v>2137.4868724361309</v>
      </c>
    </row>
    <row r="50" spans="2:9" x14ac:dyDescent="0.3">
      <c r="B50" s="85">
        <v>0.1</v>
      </c>
      <c r="C50" s="93">
        <v>974.00791499295212</v>
      </c>
      <c r="D50" s="93">
        <v>1047.7381677445178</v>
      </c>
      <c r="E50" s="93">
        <v>1136.2144710463965</v>
      </c>
      <c r="F50" s="93">
        <v>1244.3521750820262</v>
      </c>
      <c r="G50" s="93">
        <v>1379.5243051265629</v>
      </c>
      <c r="H50" s="93">
        <v>1553.3170437552533</v>
      </c>
      <c r="I50" s="93">
        <v>1785.0406952601738</v>
      </c>
    </row>
    <row r="51" spans="2:9" x14ac:dyDescent="0.3">
      <c r="B51" s="86">
        <v>0.10299999999999999</v>
      </c>
      <c r="C51" s="93">
        <v>928.36266049117273</v>
      </c>
      <c r="D51" s="93">
        <v>994.40807005762304</v>
      </c>
      <c r="E51" s="93">
        <v>1072.9148776554791</v>
      </c>
      <c r="F51" s="93">
        <v>1167.7772701695551</v>
      </c>
      <c r="G51" s="93">
        <v>1284.7006841985326</v>
      </c>
      <c r="H51" s="93">
        <v>1432.3934177088197</v>
      </c>
      <c r="I51" s="93">
        <v>1624.8415250101034</v>
      </c>
    </row>
    <row r="52" spans="2:9" x14ac:dyDescent="0.3">
      <c r="B52" s="85">
        <v>0.11</v>
      </c>
      <c r="C52" s="93">
        <v>837.08806567793374</v>
      </c>
      <c r="D52" s="93">
        <v>889.13047390394627</v>
      </c>
      <c r="E52" s="93">
        <v>949.84661683429431</v>
      </c>
      <c r="F52" s="93">
        <v>1021.6020584792514</v>
      </c>
      <c r="G52" s="93">
        <v>1107.7085884531991</v>
      </c>
      <c r="H52" s="93">
        <v>1212.9499028658024</v>
      </c>
      <c r="I52" s="93">
        <v>1344.5015458815567</v>
      </c>
    </row>
    <row r="53" spans="2:9" x14ac:dyDescent="0.3">
      <c r="B53" s="85">
        <v>0.115</v>
      </c>
      <c r="C53" s="93">
        <v>782.33578136326707</v>
      </c>
      <c r="D53" s="93">
        <v>826.83514623881888</v>
      </c>
      <c r="E53" s="93">
        <v>878.18056724907103</v>
      </c>
      <c r="F53" s="93">
        <v>938.08355842769845</v>
      </c>
      <c r="G53" s="93">
        <v>1008.8780025478945</v>
      </c>
      <c r="H53" s="93">
        <v>1093.8313354921299</v>
      </c>
      <c r="I53" s="93">
        <v>1197.6631868684176</v>
      </c>
    </row>
    <row r="56" spans="2:9" ht="14.5" x14ac:dyDescent="0.35">
      <c r="B56" s="31"/>
    </row>
    <row r="57" spans="2:9" x14ac:dyDescent="0.3">
      <c r="B57" s="36"/>
      <c r="C57" s="34"/>
      <c r="D57" s="34"/>
      <c r="E57" s="34"/>
      <c r="F57" s="34"/>
      <c r="G57" s="34"/>
      <c r="H57" s="34"/>
      <c r="I57" s="34"/>
    </row>
    <row r="58" spans="2:9" x14ac:dyDescent="0.3">
      <c r="B58" s="34"/>
      <c r="C58" s="35"/>
      <c r="D58" s="35"/>
      <c r="E58" s="35"/>
      <c r="F58" s="35"/>
      <c r="G58" s="35"/>
      <c r="H58" s="35"/>
      <c r="I58" s="35"/>
    </row>
    <row r="59" spans="2:9" x14ac:dyDescent="0.3">
      <c r="B59" s="34"/>
      <c r="C59" s="35"/>
      <c r="D59" s="35"/>
      <c r="E59" s="35"/>
      <c r="F59" s="35"/>
      <c r="G59" s="35"/>
      <c r="H59" s="35"/>
      <c r="I59" s="35"/>
    </row>
    <row r="60" spans="2:9" x14ac:dyDescent="0.3">
      <c r="B60" s="34"/>
      <c r="C60" s="35"/>
      <c r="D60" s="35"/>
      <c r="E60" s="35"/>
      <c r="F60" s="35"/>
      <c r="G60" s="35"/>
      <c r="H60" s="35"/>
      <c r="I60" s="35"/>
    </row>
    <row r="61" spans="2:9" x14ac:dyDescent="0.3">
      <c r="B61" s="34"/>
      <c r="C61" s="35"/>
      <c r="D61" s="35"/>
      <c r="E61" s="35"/>
      <c r="F61" s="35"/>
      <c r="G61" s="35"/>
      <c r="H61" s="35"/>
      <c r="I61" s="35"/>
    </row>
    <row r="62" spans="2:9" x14ac:dyDescent="0.3">
      <c r="B62" s="34"/>
      <c r="C62" s="35"/>
      <c r="D62" s="35"/>
      <c r="E62" s="35"/>
      <c r="F62" s="35"/>
      <c r="G62" s="35"/>
      <c r="H62" s="35"/>
      <c r="I62" s="35"/>
    </row>
    <row r="63" spans="2:9" x14ac:dyDescent="0.3">
      <c r="B63" s="34"/>
      <c r="C63" s="35"/>
      <c r="D63" s="35"/>
      <c r="E63" s="35"/>
      <c r="F63" s="35"/>
      <c r="G63" s="35"/>
      <c r="H63" s="35"/>
      <c r="I63" s="35"/>
    </row>
    <row r="64" spans="2:9" x14ac:dyDescent="0.3">
      <c r="B64" s="34"/>
      <c r="C64" s="35"/>
      <c r="D64" s="35"/>
      <c r="E64" s="35"/>
      <c r="F64" s="35"/>
      <c r="G64" s="35"/>
      <c r="H64" s="35"/>
      <c r="I64" s="35"/>
    </row>
    <row r="65" spans="2:11" x14ac:dyDescent="0.3">
      <c r="B65" s="36"/>
      <c r="C65" s="35"/>
      <c r="D65" s="35"/>
      <c r="E65" s="35"/>
      <c r="F65" s="35"/>
      <c r="G65" s="35"/>
      <c r="H65" s="35"/>
      <c r="I65" s="35"/>
    </row>
    <row r="66" spans="2:11" x14ac:dyDescent="0.3">
      <c r="C66" s="32"/>
      <c r="D66" s="32"/>
      <c r="E66" s="32"/>
      <c r="F66" s="32"/>
      <c r="G66" s="32"/>
      <c r="H66" s="33"/>
      <c r="I66" s="33"/>
      <c r="J66" s="33"/>
      <c r="K66" s="33"/>
    </row>
    <row r="67" spans="2:11" x14ac:dyDescent="0.3">
      <c r="B67" s="36"/>
      <c r="C67" s="35"/>
      <c r="D67" s="35"/>
      <c r="E67" s="35"/>
      <c r="F67" s="35"/>
      <c r="G67" s="35"/>
      <c r="H67" s="35"/>
      <c r="I67" s="35"/>
    </row>
    <row r="68" spans="2:11" x14ac:dyDescent="0.3">
      <c r="B68" s="37"/>
      <c r="C68" s="35"/>
      <c r="D68" s="35"/>
      <c r="E68" s="35"/>
      <c r="F68" s="35"/>
      <c r="G68" s="35"/>
      <c r="H68" s="35"/>
      <c r="I68" s="35"/>
    </row>
    <row r="69" spans="2:11" x14ac:dyDescent="0.3">
      <c r="B69" s="36"/>
    </row>
    <row r="70" spans="2:11" x14ac:dyDescent="0.3">
      <c r="B70" s="36"/>
    </row>
    <row r="71" spans="2:11" x14ac:dyDescent="0.3">
      <c r="B71" s="36"/>
    </row>
    <row r="72" spans="2:11" x14ac:dyDescent="0.3">
      <c r="B72" s="36"/>
    </row>
    <row r="73" spans="2:11" x14ac:dyDescent="0.3">
      <c r="B73" s="36"/>
    </row>
  </sheetData>
  <mergeCells count="7">
    <mergeCell ref="B44:D44"/>
    <mergeCell ref="B45:C45"/>
    <mergeCell ref="D3:H3"/>
    <mergeCell ref="I3:L3"/>
    <mergeCell ref="B1:L1"/>
    <mergeCell ref="B14:L14"/>
    <mergeCell ref="B33:C33"/>
  </mergeCells>
  <conditionalFormatting sqref="C47:I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Income Statement</vt:lpstr>
      <vt:lpstr>Balance Sheet</vt:lpstr>
      <vt:lpstr>Cashflow Statement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Akashdeep Mukherjee</dc:creator>
  <cp:lastModifiedBy>cgpju</cp:lastModifiedBy>
  <dcterms:created xsi:type="dcterms:W3CDTF">2015-06-05T18:17:20Z</dcterms:created>
  <dcterms:modified xsi:type="dcterms:W3CDTF">2026-04-07T12:22:24Z</dcterms:modified>
</cp:coreProperties>
</file>